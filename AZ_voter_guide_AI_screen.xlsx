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emailarizona-my.sharepoint.com/personal/lukebasler_arizona_edu/Documents/Research/_Miscellaneous/AZ_voter_pangram/reports/"/>
    </mc:Choice>
  </mc:AlternateContent>
  <xr:revisionPtr revIDLastSave="14" documentId="11_DD785BE2DB62A5795D99D0F199BECDEC51B33525" xr6:coauthVersionLast="47" xr6:coauthVersionMax="47" xr10:uidLastSave="{326C4C1F-3631-C043-902B-303F8DFDDF2C}"/>
  <bookViews>
    <workbookView xWindow="0" yWindow="680" windowWidth="27380" windowHeight="14900" tabRatio="500" activeTab="2" xr2:uid="{00000000-000D-0000-FFFF-FFFF00000000}"/>
  </bookViews>
  <sheets>
    <sheet name="Read me" sheetId="1" r:id="rId1"/>
    <sheet name="Candidates" sheetId="2" r:id="rId2"/>
    <sheet name="Summary &amp; charts" sheetId="3" r:id="rId3"/>
  </sheets>
  <definedNames>
    <definedName name="_xlnm._FilterDatabase" localSheetId="1" hidden="1">Candidates!$A$1:$L$209</definedName>
    <definedName name="_xlnm.Print_Titles" localSheetId="1">Candidates!$1:$1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1" i="3" l="1"/>
  <c r="B50" i="3"/>
  <c r="B49" i="3"/>
  <c r="B48" i="3"/>
  <c r="B47" i="3"/>
  <c r="B46" i="3"/>
  <c r="B45" i="3"/>
  <c r="B44" i="3"/>
  <c r="B43" i="3"/>
  <c r="B42" i="3"/>
  <c r="B41" i="3"/>
  <c r="B40" i="3"/>
  <c r="B39" i="3"/>
  <c r="B38" i="3"/>
  <c r="B37" i="3"/>
  <c r="B36" i="3"/>
  <c r="B35" i="3"/>
  <c r="B34" i="3"/>
  <c r="B33" i="3"/>
  <c r="B32" i="3"/>
  <c r="D26" i="3"/>
  <c r="C26" i="3"/>
  <c r="B26" i="3"/>
  <c r="C25" i="3"/>
  <c r="D25" i="3" s="1"/>
  <c r="B25" i="3"/>
  <c r="C24" i="3"/>
  <c r="B24" i="3"/>
  <c r="D24" i="3" s="1"/>
  <c r="C23" i="3"/>
  <c r="D23" i="3" s="1"/>
  <c r="B23" i="3"/>
  <c r="C22" i="3"/>
  <c r="D22" i="3" s="1"/>
  <c r="B22" i="3"/>
  <c r="C17" i="3"/>
  <c r="D17" i="3" s="1"/>
  <c r="B17" i="3"/>
  <c r="C16" i="3"/>
  <c r="D16" i="3" s="1"/>
  <c r="B16" i="3"/>
  <c r="C15" i="3"/>
  <c r="D15" i="3" s="1"/>
  <c r="B15" i="3"/>
  <c r="B9" i="3"/>
  <c r="B8" i="3"/>
  <c r="B7" i="3"/>
  <c r="B6" i="3"/>
  <c r="B5" i="3"/>
  <c r="B4" i="3"/>
  <c r="K209" i="2"/>
  <c r="K208" i="2"/>
  <c r="K207" i="2"/>
  <c r="K206" i="2"/>
  <c r="K205" i="2"/>
  <c r="K204" i="2"/>
  <c r="K203" i="2"/>
  <c r="K202" i="2"/>
  <c r="K201" i="2"/>
  <c r="K200" i="2"/>
  <c r="K199" i="2"/>
  <c r="K198" i="2"/>
  <c r="K197" i="2"/>
  <c r="K196" i="2"/>
  <c r="K195" i="2"/>
  <c r="K194" i="2"/>
  <c r="K193" i="2"/>
  <c r="K192" i="2"/>
  <c r="K191" i="2"/>
  <c r="K190" i="2"/>
  <c r="K189" i="2"/>
  <c r="K188" i="2"/>
  <c r="K187" i="2"/>
  <c r="K186" i="2"/>
  <c r="K185" i="2"/>
  <c r="K184" i="2"/>
  <c r="K183" i="2"/>
  <c r="K182" i="2"/>
  <c r="K181" i="2"/>
  <c r="K180" i="2"/>
  <c r="K179" i="2"/>
  <c r="K178" i="2"/>
  <c r="K177" i="2"/>
  <c r="K176" i="2"/>
  <c r="K175" i="2"/>
  <c r="K174" i="2"/>
  <c r="K173" i="2"/>
  <c r="K172" i="2"/>
  <c r="K171" i="2"/>
  <c r="K170" i="2"/>
  <c r="K169" i="2"/>
  <c r="K168" i="2"/>
  <c r="K167" i="2"/>
  <c r="K166" i="2"/>
  <c r="K165" i="2"/>
  <c r="K164" i="2"/>
  <c r="K163" i="2"/>
  <c r="K162" i="2"/>
  <c r="K161" i="2"/>
  <c r="K160" i="2"/>
  <c r="K159" i="2"/>
  <c r="K158" i="2"/>
  <c r="K157" i="2"/>
  <c r="K156" i="2"/>
  <c r="K155" i="2"/>
  <c r="K154" i="2"/>
  <c r="K153" i="2"/>
  <c r="K152" i="2"/>
  <c r="K151" i="2"/>
  <c r="K150" i="2"/>
  <c r="K149" i="2"/>
  <c r="K148" i="2"/>
  <c r="K147" i="2"/>
  <c r="K146" i="2"/>
  <c r="K145" i="2"/>
  <c r="K144" i="2"/>
  <c r="K143" i="2"/>
  <c r="K142" i="2"/>
  <c r="K141" i="2"/>
  <c r="K140" i="2"/>
  <c r="K139" i="2"/>
  <c r="K138" i="2"/>
  <c r="K137" i="2"/>
  <c r="K136" i="2"/>
  <c r="K135" i="2"/>
  <c r="K134" i="2"/>
  <c r="K133" i="2"/>
  <c r="K132" i="2"/>
  <c r="K131" i="2"/>
  <c r="K130" i="2"/>
  <c r="K129" i="2"/>
  <c r="K128" i="2"/>
  <c r="K127" i="2"/>
  <c r="K126" i="2"/>
  <c r="K125" i="2"/>
  <c r="K124" i="2"/>
  <c r="K123" i="2"/>
  <c r="K122" i="2"/>
  <c r="K121" i="2"/>
  <c r="K120" i="2"/>
  <c r="K119" i="2"/>
  <c r="K118" i="2"/>
  <c r="K117" i="2"/>
  <c r="K116" i="2"/>
  <c r="K115" i="2"/>
  <c r="K114" i="2"/>
  <c r="K113" i="2"/>
  <c r="K112" i="2"/>
  <c r="K111" i="2"/>
  <c r="K110" i="2"/>
  <c r="K109" i="2"/>
  <c r="K108" i="2"/>
  <c r="K107" i="2"/>
  <c r="K106" i="2"/>
  <c r="K105" i="2"/>
  <c r="K104" i="2"/>
  <c r="K103" i="2"/>
  <c r="K102" i="2"/>
  <c r="K101" i="2"/>
  <c r="K100" i="2"/>
  <c r="K99" i="2"/>
  <c r="K98" i="2"/>
  <c r="K97" i="2"/>
  <c r="K96" i="2"/>
  <c r="K95" i="2"/>
  <c r="K94" i="2"/>
  <c r="K93" i="2"/>
  <c r="K92" i="2"/>
  <c r="K91" i="2"/>
  <c r="K90" i="2"/>
  <c r="K89" i="2"/>
  <c r="K88" i="2"/>
  <c r="K87" i="2"/>
  <c r="K86" i="2"/>
  <c r="K85" i="2"/>
  <c r="K84" i="2"/>
  <c r="K83" i="2"/>
  <c r="K82" i="2"/>
  <c r="K81" i="2"/>
  <c r="K80" i="2"/>
  <c r="K79" i="2"/>
  <c r="K78" i="2"/>
  <c r="K77" i="2"/>
  <c r="K76" i="2"/>
  <c r="K75" i="2"/>
  <c r="K74" i="2"/>
  <c r="K73" i="2"/>
  <c r="K72" i="2"/>
  <c r="K71" i="2"/>
  <c r="K70" i="2"/>
  <c r="K69" i="2"/>
  <c r="K68" i="2"/>
  <c r="K67" i="2"/>
  <c r="K66" i="2"/>
  <c r="K65" i="2"/>
  <c r="K64" i="2"/>
  <c r="K63" i="2"/>
  <c r="K62" i="2"/>
  <c r="K61" i="2"/>
  <c r="K60" i="2"/>
  <c r="K59" i="2"/>
  <c r="K58" i="2"/>
  <c r="K57" i="2"/>
  <c r="K56" i="2"/>
  <c r="K55" i="2"/>
  <c r="K54" i="2"/>
  <c r="K53" i="2"/>
  <c r="K52" i="2"/>
  <c r="K51" i="2"/>
  <c r="K50" i="2"/>
  <c r="K49" i="2"/>
  <c r="K48" i="2"/>
  <c r="K47" i="2"/>
  <c r="K46" i="2"/>
  <c r="K45" i="2"/>
  <c r="K44" i="2"/>
  <c r="K43" i="2"/>
  <c r="K42" i="2"/>
  <c r="K41" i="2"/>
  <c r="K40" i="2"/>
  <c r="K39" i="2"/>
  <c r="K38" i="2"/>
  <c r="K37" i="2"/>
  <c r="K36" i="2"/>
  <c r="K35" i="2"/>
  <c r="K34" i="2"/>
  <c r="K33" i="2"/>
  <c r="K32" i="2"/>
  <c r="K31" i="2"/>
  <c r="K30" i="2"/>
  <c r="K29" i="2"/>
  <c r="K28" i="2"/>
  <c r="K27" i="2"/>
  <c r="K26" i="2"/>
  <c r="K25" i="2"/>
  <c r="K24" i="2"/>
  <c r="K23" i="2"/>
  <c r="K22" i="2"/>
  <c r="K21" i="2"/>
  <c r="K20" i="2"/>
  <c r="K19" i="2"/>
  <c r="K18" i="2"/>
  <c r="K17" i="2"/>
  <c r="K16" i="2"/>
  <c r="K15" i="2"/>
  <c r="K14" i="2"/>
  <c r="K13" i="2"/>
  <c r="K12" i="2"/>
  <c r="K11" i="2"/>
  <c r="K10" i="2"/>
  <c r="K9" i="2"/>
  <c r="K8" i="2"/>
  <c r="K7" i="2"/>
  <c r="K6" i="2"/>
  <c r="K5" i="2"/>
  <c r="K4" i="2"/>
  <c r="K3" i="2"/>
  <c r="K2" i="2"/>
</calcChain>
</file>

<file path=xl/sharedStrings.xml><?xml version="1.0" encoding="utf-8"?>
<sst xmlns="http://schemas.openxmlformats.org/spreadsheetml/2006/main" count="1486" uniqueCount="579">
  <si>
    <t>AI-detection screen of the 2026 Arizona Voter Education Guide</t>
  </si>
  <si>
    <t>Prepared by Luke Basler</t>
  </si>
  <si>
    <t>What this is</t>
  </si>
  <si>
    <t>I screened every candidate statement in the Arizona Citizens Clean Elections Commission's 2026 General</t>
  </si>
  <si>
    <t>Election Voter Education Guide for AI-generated text with Pangram 4.0.</t>
  </si>
  <si>
    <t>What the AI score means</t>
  </si>
  <si>
    <t>Pangram returns 'fraction_ai': the share of the statement it attributes to a language model,</t>
  </si>
  <si>
    <t>A statement is counted as FLAGGED here when the AI score is above 0.50. That threshold is</t>
  </si>
  <si>
    <t>Reported accuracy</t>
  </si>
  <si>
    <t>Pangram's technical report gives a false-positive rate of 0.0041% (about 1 in 24,000 documents)</t>
  </si>
  <si>
    <t>Some caveats:</t>
  </si>
  <si>
    <t>I did not evaluate the biography given by each candidate in the voter guide for AI.</t>
  </si>
  <si>
    <t>Candidate</t>
  </si>
  <si>
    <t>Party</t>
  </si>
  <si>
    <t>Office</t>
  </si>
  <si>
    <t>District</t>
  </si>
  <si>
    <t>Race type</t>
  </si>
  <si>
    <t>Chamber</t>
  </si>
  <si>
    <t>Words</t>
  </si>
  <si>
    <t>Pangram AI score</t>
  </si>
  <si>
    <t>Pangram label</t>
  </si>
  <si>
    <t>Flagged (&gt;0.50)</t>
  </si>
  <si>
    <t>Statement</t>
  </si>
  <si>
    <t>Kris Mayes</t>
  </si>
  <si>
    <t>Democratic</t>
  </si>
  <si>
    <t>Attorney General</t>
  </si>
  <si>
    <t>Statewide</t>
  </si>
  <si>
    <t>Human</t>
  </si>
  <si>
    <t>I have fought like hell for Arizonans protecting seniors from scams and abuse, stopping the flow of deadly fentanyl, lowering prices, blocking mega-mergers, and addressing rising rent. By working with local police, sheriffs, and federal partners, I have seized 27 million pills of fentanyl and protected Arizonans from drug smugglers and scammers. To defend our groundwater, I sued a Saudi-owned mega farm for excessive groundwater pumping harming rural neighbors and ranchers. I blocked the Albertson and Kroger merger preventing job loss, higher grocery prices, and exacerbated food deserts.I have intervened against APS and TEP’s unfair 14% rate hike and cracked down on billions in Medicaid fraud, successfully reducing fraudulent billing by 92%. My federal lawsuits have saved Arizonans $1.5 billion in taxpayer dollars by protecting Headstart, Meals on Wheels, and Americorps. My record at the U.S Supreme Court on behalf of Arizona is 2-0, overturning illegal tariffs costing Arizonans an average $1,500 a year. As a daughter of rural Arizona, I have held over 50 town halls across all 15 counties. It’s critical to reelect me as your Attorney General, so I can keep protecting Arizona families and making life more affordable in Arizona.</t>
  </si>
  <si>
    <t>Warren Petersen</t>
  </si>
  <si>
    <t>Republican</t>
  </si>
  <si>
    <t>I will restore the Attorney General’s Office to its mission: fighting crime, combatting fraud and corruption, and defending our Constitution. I am the only candidate endorsed by Arizona’s largest law enforcement organizations, making my opponent the first incumbent Attorney General to be rejected by law enforcement because of her explosive temper, soft-on-crime positions, and dangerous rhetoric towards officers. With more than a decade of legal experience, including prosecution, lawmaking, and serving as Judiciary and Rules Chairman, and Senate President, I have stepped in to manage more than 130 cases and amicus briefs when Mayes refused to defend Arizona laws. As the de facto AG, I successfully took Arizona’s Save Women’s Sports Act to the U.S. Supreme Court to keep men out of women’s sports. I have protected Arizonans from sex offenders and open borders when Mayes failed to act. Under Mayes, the office has become partisan and political, and while she blames others for rising prices, her extreme environmental votes as an Arizona Corporation Commissioner have driven up costs. Already leading a major branch of government, I have the legal experience, leadership, and judgment to be Attorney General on day one. I respectfully ask for your vote.</t>
  </si>
  <si>
    <t>Clara Pratte</t>
  </si>
  <si>
    <t>Corporation Commissioner</t>
  </si>
  <si>
    <t>AI</t>
  </si>
  <si>
    <t>I’m running for the Arizona Corporation Commission because I’ve lived the consequences of decisions made in this office. Growing up on the Navajo Nation without electricity or running water, I understand how essential reliable and affordable utilities are to everyday life. Today, too many Arizona families, ranging from rural communities to our cities, are struggling with rising costs and uncertainty about the future. I’ve spent my career working in energy, economic development, and now as a small business owner, helping bring infrastructure and opportunity to communities that have been overlooked. Communities just like my hometown. It's why I believe the Commission should be a watchdog for the people by ensuring fair rates, reliable service, and encouraging smart investments that strengthen our economy while protecting our air and water. We can expand clean, cost-effective energy, create good-paying jobs, and protect our natural resources while keeping Arizona competitive. We just need the political courage to do so. I’m running to fight for affordable utility bills, limit data centers, and protect our water. I hope to have the honor of your vote.</t>
  </si>
  <si>
    <t>Jonathon Hill</t>
  </si>
  <si>
    <t>I’m running for the Arizona Corporation Commission because too many Arizonans are paying more every month and seemingly getting less in return. As a scientist who has spent my career working on complex systems and solving real-world problems, I believe we need leadership that is grounded in facts, transparency, and accountability. The Commission has enormous influence over our utility bills, our energy reliability, and our long-term economic competitiveness, yet too often it has failed to ask tough questions or fully represent ratepayers. I’m not running as a career politician; I’m running as someone who believes government should work for people, not special interests. We can lower costs, strengthen our grid, and invest in cleaner, more efficient energy that protects our water and air while supporting business growth. Arizona deserves leadership that is practical, forward-thinking, and focused on results. That’s what I will bring to the Commission.</t>
  </si>
  <si>
    <t>Kevin Thompson</t>
  </si>
  <si>
    <t>One office that shouldn’t be political is the regulators who oversee utilities and our grid. My focus is protecting ratepayers and grid stability. I’ve championed an all-of-the above energy approach to manage Arizona’s energy grid, focusing on eliminating Green New Deal policies that have cost customers billions of dollars in extra surcharges, while pushing for greater ratepayer protections and holding utilities accountable for wasteful and frivolous spending. I championed the elimination of previously enacted Commission mandates that forced utilities to fund energy projects and programs costing ratepayers nearly $4Billion since their inception. I led the charge in eliminating over $50Million in ratepayer surcharges from the state’s largest electric utility in incentives for things like electric golf carts, EV charging stations, and payments to homebuilders to install appliances. I’ve worked tirelessly to remove regulatory barriers and mandates to unleash energy innovation, while ensuring grid stability and maintaining reliable energy supply. Under my watch, Arizona’s grid is now ranked the 7th most reliable in the country. I recently led the charge to prevent ratepayers from being saddled with $1.9Billion in extra costs to open a shuttered power plant and have worked on federal permitting reform for natural gas and nuclear power.</t>
  </si>
  <si>
    <t>Mike Cease</t>
  </si>
  <si>
    <t>Green</t>
  </si>
  <si>
    <t>no statement</t>
  </si>
  <si>
    <t>(none submitted)</t>
  </si>
  <si>
    <t>Ralph Heap</t>
  </si>
  <si>
    <t>Ralph Heap was elected to the Arizona House of Representatives, where he has been a strong voice for limited government, free markets, medical freedom, and parental rights. Now, as a candidate for the Arizona Corporation Commission, Dr. Heap is ready to stand up for ratepayers, defend rural communities, and block the encroachment of globalist energy agendas. As Corporation Commissioner, Dr. Heap will: • Fight against ESG mandates and California-style energy experiments • Oppose unnecessary utility rate increases that punish families and seniors • Ensure a reliable, diverse energy grid — not one dictated by ideology • Fully Support the Trump Energy Agenda, with emphasis on fossil fuels and Nuclear energy. • • Protect water access and infrastructure, especially in rural Arizona • Demand transparency and stand against special interest influence at the Commission With decades of real-world experience, a commitment to constitutional principles, and a heart for service, Dr. Ralph Heap is the steady, conservative leader Arizona needs at the Corporation Commission.</t>
  </si>
  <si>
    <t>Andy Biggs</t>
  </si>
  <si>
    <t>Governor</t>
  </si>
  <si>
    <t>Andy Biggs is running for Governor to bring down costs for Arizona families and businesses by growing our economy, lowering taxes, encouraging job growth, and reducing government interference. As Governor, he will prioritize the use and expansion of reliable and affordable energy sources for every Arizonan and responsibly manage our water and land resources to ensure long-term growth and an increased supply of single-family homes. Biggs will protect the rights and freedoms of Arizonans to make their own education and health choices, supporting school choice policies and enacting the MAHA agenda at the state level.</t>
  </si>
  <si>
    <t>Katie Hobbs</t>
  </si>
  <si>
    <t>As governor, Katie Hobbs has put politics aside and focused on tackling the tough challenges facing Arizona. As Washington, D.C. policies raise costs on everything from healthcare to groceries to gas, Katie is fighting to make life more affordable for Arizona families. She passed middle-class tax cuts that save 88% of Arizonans money, give seniors an additional $6,000 deduction, and eliminate taxes on tips and overtime pay. She repealed the tax on rent, helped first-time homebuyers afford down payments, and cut red tape to make housing more affordable. While Washington politicians have slashed healthcare, Katie eliminated medical debt for nearly 700,000 Arizonans and lowered prescription drug costs by up to 80%. She stood up to her own party and the federal government to secure Arizona’s water and canceled leases allowing a Saudi-owned corporation to pump Arizona’s groundwater unchecked. She’s worked with law enforcement to seize over 18 million fentanyl pills, fight human trafficking, and combat cartels throughout Arizona. Katie knows there’s more work to do, and she’ll keep standing up to Washington and her own party to put Arizona first and fight to lower costs, keep communities safe, and create opportunity for every Arizonan.</t>
  </si>
  <si>
    <t>Risa Lombardo</t>
  </si>
  <si>
    <t>Risa Lombardo is running for Governor because she knows families are struggling, and Katie Hobbs and the Republicans are too busy squabbling to fix things. As Governor, Lombardo will transform our broken two -party system into a state government that serves the people, not greed or corporate interests. She will protect our fragile democracy from those who overstep their legal authority and from those who attack it to further their political ambitions. She will stop the Data Centers that Republican and Democrats are allowing to happen without proper consideration of the costs, water and energy demands involved. She will end the use of Flock Cameras to track Arizona residents’ every movement across the state as we merely drive through our communities. She will stop discrimination by race, class, gender, sexual orientation, age, nationality, or religion. She will combat Climate Change, protect our environment, and ensure policies that create clean air and clean water for Arizona residents. And she will reduce the costs of utilities for working families. Hobbs and the Republicans are too busy fighting to find common ground. Shatter this two-party system and change Arizona politics forever! Risa Lombardo would be honored to have your vote.</t>
  </si>
  <si>
    <t>Teri Ann Hourihan</t>
  </si>
  <si>
    <t>No Labels</t>
  </si>
  <si>
    <t>Teri Ann chose to run as an Independent/No Labels candidate because she believes political division has prevented meaningful solutions and left too many Arizonans behind. She is committed to putting people before politics and leading with honesty, integrity, accountability, and common sense—not party agendas, special interests, or wealthy donors. Teri Ann has pledged never to accept PAC or AIPAC donations because she believes elected officials should be accountable to the people they serve. As Governor, she will restore public trust by reforming state government, increasing transparency, and ensuring agencies operate efficiently and responsibly. Her priorities include lowering the cost of living, protecting the rights of all people, expanding affordable childcare, protecting school choice while increasing accountability for education spending, securing Arizona's water future, reducing homelessness through shelter and support services, strengthening the family court system, supporting rural communities, improving legal immigration processes, and eliminating fraud, waste, and abuse in government. Above all, Teri Ann believes leadership begins with listening. She is committed to being accessible, accountable, and responsive to every Arizonan while delivering practical, bipartisan solutions that unite communities, restore trust in government, and improve the quality of life for families across Arizona.</t>
  </si>
  <si>
    <t>Angela Harrolle Mohan (Hourihan)</t>
  </si>
  <si>
    <t>Independent</t>
  </si>
  <si>
    <t>Lieutenant Governor</t>
  </si>
  <si>
    <t>Mixed</t>
  </si>
  <si>
    <t>Political: Angela is not a career politician but a citizen inspired to serve after witnessing the challenges facing everyday Arizonans. She believes government works best when leaders focus on practical solutions rather than partisan politics. She successfully championed bipartisan legislation signed into law.. A registered Independent, Angela has previously been registered as both a Democrat and Republican to participate in their primary elections, reflecting her belief that leadership should be driven by people, solutions, and results—not party labels. She believes protecting public safety is a commitment owed to every Arizonan. Personal: Angela is happily remarried and enjoys spending time with her family, including her six children and newest grandchild. Through years of international travel and government missions, she worked with diverse communities, including Spanish-speaking populations, strengthening her ability to connect across cultures. In 2008, her late husband was killed during a mountain rescue in Sedona while saving the lives of two others. His sacrifice continues to inspire her lifelong commitment to public service.</t>
  </si>
  <si>
    <t>John Giles (Hobbs)</t>
  </si>
  <si>
    <t>John Giles, a former Republican and now Independent, is running alongside Katie Hobbs to continue delivering real results by setting partisan politics aside and putting Arizona first. They believe our challenges are not Democrat or Republican issues – they’re Arizona issues that deserve Arizona solutions. Together, they will fight to bring down costs that keep rising because of Washington’s reckless policies. As governor, Katie has cut taxes each year for middle-class families, small businesses, and veterans. She repealed the tax on rent and cut red tape to make housing more affordable. While Washington politicians have raised healthcare costs and slashed coverage, Katie eliminated medical debt for nearly 700,000 Arizonans and lowered prescription drug costs by up to 80%. She stood up to her own party and the federal government to secure Arizona’s water and canceled leases allowing a Saudi-owned corporation to pump Arizona’s groundwater unchecked. She’s worked with law enforcement to seize over 18 million fentanyl pills, fight human trafficking, and combat cartels throughout Arizona. John and Katie share the same approach to leadership: put Arizona first, find common ground, and deliver results. Together, they’ll lower costs, protect our freedoms, keep communities safe, and create opportunity for every Arizonan.</t>
  </si>
  <si>
    <t>Lisa Castillo (Lombardo)</t>
  </si>
  <si>
    <t>I am running for Lieutenant Governor alongside Risa Lombardo because Arizona families deserve leadership grounded in compassion, honesty, and common sense. Too many people struggle to afford housing, healthcare, education, food, and other necessities while feeling that government no longer listens to them. I will advocate for practical, humane solutions to homelessness that provide immediate assistance while addressing the causes of housing instability. I will support stronger mental-health services, including accessible treatment, crisis intervention, community programs, and stable housing. These investments can save lives, strengthen families, and make our communities safer. As a small-business owner, wife, mother, and Arizona resident since 2010, I understand the pressures families face and the importance of responsible decisions. I support the Green Party values of environmental responsibility, social justice, grassroots democracy, peace, and respect for diversity. Public service begins with listening. I will work with Arizonans from every background, treat people with dignity, and seek solutions that improve everyday life. I will put people, community well-being, and Arizona’s long-term future ahead of political games. Together, we can build an Arizona where opportunity is shared, communities are healthy, government is accountable, and every person has a fair chance to create a secure and hopeful future.</t>
  </si>
  <si>
    <t>Sine Kerr (Biggs)</t>
  </si>
  <si>
    <t>Arizona is a great state, one where my husband Bill and I raised our family and built a business. But under Katie Hobbs, the Arizona we know has come under attack. She’s raised costs, made life more difficult; and threatened the livelihood of rural Arizonans. As the Lt. Governor for Andy Biggs, I’ll make sure every Arizonan has a voice no matter where they live and how they make a living. The Biggs/Kerr ticket will put more money in your pocket, keep our state safe, and Restore the American Dream in Arizona.</t>
  </si>
  <si>
    <t>Adrian Fontes</t>
  </si>
  <si>
    <t>Secretary Of State</t>
  </si>
  <si>
    <t>As Secretary of State, I’ve delivered on key promises to strengthen election integrity, ensure voter access, improve business services, and promote transparency. In everything I do, my goal is to protect your vote. These efforts include launching a statewide ballot tracking system that allows voters to receive text and email updates when their ballots are sent and received. I have fought to protect your private data and vote-by-mail because nobody should have to stand in long lines in the heat to cast their vote. Ahead of the 2024 election, I hosted statewide tabletop exercises with election officials, law enforcement, and cybersecurity experts to prepare for potential threats, including emerging challenges like deepfakes and content authentication. To combat misinformation, I established the Artificial Intelligence and Election Security Advisory Committee, bringing together leaders from academia, business, and technology to assess risks and identify opportunities. In 2025, I received a Clearie Award from the U.S. Election Assistance Commission for the third consecutive year, honoring innovation and excellence in election administration. Importantly, I successfully oversaw the peaceful administration and certification of the 2024 election, reinforcing trust in Arizona’s democratic process. I would be honored to earn your vote. Thank you.</t>
  </si>
  <si>
    <t>Alexander Kolodin</t>
  </si>
  <si>
    <t>As Secretary of State, my sole focus will be on serving all voters, regardless of political affiliation, and administering elections that are secure, transparent, honest, and follow the law, while delivering fast results that all Arizonans can have confidence in on election night. I’ve been fighting for Arizonans’ civil liberties, including the right to free and fair elections, for well over a decade. As an experienced election attorney, I’ve successfully challenged my opponent Adrian Fontes’ numerous and repeated violations of the law in court. As a member of the Arizona House of Representatives, I’ve been the state’s most successful election policy-focused legislator — achieving broad bipartisan support for some of the most important election laws in state history. I’ve fought to protect the voting rights of military members, veterans, the disabled, rural voters, and voters from every Party, income level, race, gender and age. The reality is that the process of administering elections shouldn’t be about right vs. left or rich vs. poor. Election administration is about following the law, running world class elections, and delivering fast results that voters can trust. I’m Alex Kolodin and I’m humbly asking for your vote to be Arizona’s next Secretary of State.</t>
  </si>
  <si>
    <t>Duwayne Collier</t>
  </si>
  <si>
    <t>Duwayne Collier is the Green Party nominee for Secretary of State. For too long our elections have been regulated by the two party system for their own gain. As the Secretary of State for Arizona, Duwayne Collier will work to end the two party monopoly by pushing for ranked-choice voting, open debates, easier ballot access, public financing, election transparency, and voter access. Democracy should not belong to the highest bidder, or billionaires’ ruling influence. Democracy belongs to the voters. As a representative of the people, Collier will fight to ensure that every vote is counted, results are fast and accurate, and that your vote is heard! Collier will work for a system that encourages strong third parties and ends special interests and corporate influence over elections. Duwayne Collier would be honored to have your vote to reform Arizona and represent you, the people!</t>
  </si>
  <si>
    <t>Brian Matlock</t>
  </si>
  <si>
    <t>State Mine Inspector</t>
  </si>
  <si>
    <t>Arizona was built on mining, and the men and women who power that industry deserve leadership that implements world-class health and safety mining practices. I’m Brian Matlock, and I’m running for State Mine Inspector because the job is about one thing, protecting lives while supporting world-class mining that keeps our economy thriving and robust. I’ve built my career solving problems. I’ve seen what works and what fails. As Mine Inspector, I plan to: • Put real-world safety first by enforcing practical standards that protect miners every day. Not politics. Not bureaucracy. Just results keeping people safe. • Bring a professional, boots-on-the- ground approach to the office focused on expertise, accountability, and transparency. This is not a political position. It’s a public safety job. • Ensure the inspection gap is filled as Federal oversight wanes. • Work with local experts and federal agencies to secure abandoned uranium mines in the Sovereign Lands. Secure backcountry abandoned mines that threaten families, hikers, and rural communities. Arizona’s mining industry is vital, but nothing is more important than the people who power it. The State Mine Inspector must be visible, responsive, and accountable to both workers and the public. I’m ready to get to work.</t>
  </si>
  <si>
    <t>Walter "Les" Presmyk</t>
  </si>
  <si>
    <t>I spent my entire 45-year career in Arizona’s mining industry, starting by exploring old underground mines in high school and going on to work in large underground and open-pit copper mines, Arizona’s largest coal mine, and my own small mining operation. Appointed by Governor Katie Hobbs from a group of seven Republican applicants, I now serve as your Arizona State Mine Inspector. My top priority is ensuring that mines are safe, so every miner, contractor, and supplier returns home safely at the end of each workday. I also oversee mine inspections, safety training, the securing abandoned mines and final mine reclamation statewide. Beyond my professional work, I served on the Gilbert Town Council for 12 years and have devoted years to serving on boards and commissions in Gilbert and the Southeast Valley, with a special focus on supporting veterans and their families. I have spent countless hours supporting the two University of Arizona mining/mineral/gem museums in Phoenix and Tucson. Safety is not a partisan issue, and I am committed to safeguarding both Arizona’s miners and our mining industry. I am the only candidate with this depth of experience. I respectfully ask for your vote so I can continue this work.</t>
  </si>
  <si>
    <t>Elijah Norton</t>
  </si>
  <si>
    <t>State Treasurer</t>
  </si>
  <si>
    <t>I am running for Arizona State Treasurer to bring disciplined, results-driven investment leadership to state government. As a self-made businessman, I built a successful company from the ground up and understand how to manage capital, evaluate risk, and deliver strong returns—skills essential to protecting taxpayer dollars. I believe the Treasurer’s primary responsibility is to safeguard and grow Arizona’s investments. I am committed to investing taxpayer dollars safely and responsibly while maximizing returns, ensuring our state’s financial future remains secure. My approach prioritizes performance over politics—rejecting ESG and politically driven investment strategies that put ideology ahead of results. I will also increase transparency and accountability in how public funds are managed. I will work to identify inefficiencies, eliminate waste, and ensure every taxpayer dollar is protected and working effectively for the citizens of Arizona. I am running to bring private -sector discipline to public finance, deliver strong and stable returns, and ensure Arizona remains financially secure for generations to come.</t>
  </si>
  <si>
    <t>Nick Mansour</t>
  </si>
  <si>
    <t>For Nick Mansour, the State Treasurer’s office is not a political stepping stone for higher office. It is the place to make Arizona the best place to live, work, and raise a family. That work starts with restoring fiscal accountability and transparency to the Treasurer’s Office, along with investing in education so Arizonans are ready for today’s challenges and tomorrow’s opportunities. Nick’s career has been dedicated to leading companies that help others better themselves, whether through earning a nursing degree, working in emergency services, or pursuing other opportunities. He defines success by how much he helps others succeed. Nick knows that Arizona’s money is OUR money. He is running for State Treasurer to watch over taxpayer dollars, eliminate waste, invest responsibly, and return money to hardworking Arizonans where it belongs. He will ensure the state’s finances are run like those of the successful businesses he has led, so cities, towns, school districts, and counties have the resources they need. He understands the Treasurer’s main job is investing and managing tax dollars wisely. Recent waste, fraud, and abuse of taxpayer dollars are unacceptable to Nick. In his view, even one dollar of waste is too much.</t>
  </si>
  <si>
    <t>Kimberly Yee</t>
  </si>
  <si>
    <t>Superintendent Of Public Instruction</t>
  </si>
  <si>
    <t>Kimberly Yee is one of the most respected statewide leaders, currently State Treasurer, bringing 30 years of experience in K-12 education policy with an extensive background in school finance and fiscal accountability. A longtime advocate of school choice in Arizona, Kimberly began her career drafting laws giving families the freedom to attend schools outside of their residential zip code with open enrollment and charter schools. She believes parents should have the opportunity to select the education that best fits their child's unique needs and a pathway to academic success no matter where they live. She supports ALL forms of education, including public schools, charter schools, private schools, homeschools and tribal schools. Kimberly is a strong supporter of teachers as the daughter of a 38-year veteran public school teacher in Arizona. With student proficiency in reading and mathematics ranked at the 25th percentile, Arizona deserves better leadership in education. The current State Superintendent is asleep at the wheel. Kimberly's plan to bring back phonics-based reading instruction and traditional mathematics will ensure we get back to the basics, with a focus on real-world life skills in home economics and shop classes to encourage the trades, including vocational and workforce development. Visit www.KimberlyYee.com</t>
  </si>
  <si>
    <t>Teresa Leyba Ruiz</t>
  </si>
  <si>
    <t>Dr. Ruiz is proud to be the only educator running for Superintendent and believes a teacher — not a career politician — should oversee Arizona’s public schools. Her priorities include increasing transparency and accountability, protecting taxpayer dollars, stabilizing the teacher workforce, upholding high academic standards with strong support systems, and expanding career and post-secondary training opportunities. As a former community college president, Terry has managed operating budgets larger than the Arizona Department of Education with transparency and fiscal responsibility. She will bring that same leadership to the office by strengthening oversight of the ESA program, ending the automatic approval of purchases, implementing automated solutions, and creating a public transparency portal so taxpayers can see how funds are spent. After listening to educators in all 15 Arizona counties, Terry plans on supporting her fellow teachers through professional development, mentorship, and advocacy for competitive pay. As Superintendent, she will expand opportunities for all students in the K-12 system from early literacy and math interventions, to increased access to career and technical education and dual enrollment pathways. Dr. Ruiz believes that when our schools succeed, our state succeeds, and will focus on real results for our students — not political agendas and empty rhetoric.</t>
  </si>
  <si>
    <t>Quang Huu Nguyen</t>
  </si>
  <si>
    <t>State Representative - District 1</t>
  </si>
  <si>
    <t>Legislative</t>
  </si>
  <si>
    <t>House</t>
  </si>
  <si>
    <t>I ran for office as a Constitutional Conservative, you trusted and elected me, and I’ve gone to work each day and KEPT MY WORD! That means real election integrity measures, secure borders (finishing that wall), criminalizing fentanyl dealers, fighting for affordability, medical freedom, safe neighborhoods, improved highways and transportation (improving I-17), long-term water security, and personal liberty. I have a 100% pro- gun, pro-Constitution, pro-life, pro-school choice, and pro-Arizona voting record. I’ve worked closely with Representative Selina Bliss and our district is home to Arizona’s most reliably conservative State Reps. We are again being challenged from our left by the same candidate you rejected last time, but that’s okay. Voters should have choices, and we’re going to keep voting for conservative ideals no matter who runs against us. You know me, and you know the love I have for my country, my state, and everyone who calls it home. If you want a proven America First team, then I ask you to cast your TWO State House votes for Nguyen AND Bliss. On behalf of my wonderful wife and kids, THANK YOU! And may God continue to bless America.</t>
  </si>
  <si>
    <t>Sandy Zalecki</t>
  </si>
  <si>
    <t>I have never wanted to be a politician, but I found out that being in politics is one of the best ways to help others if it's done properly. I'm not good a making big promises that I can't keep. I don't like to lie. If I were elected there are four things that I would work to change. One would be to require every state candidate to run clean elections. It would make it more fair and take some of the dirty money out of politics. Second, water. We haven't had any water legislation since the 1980 Ground Water Act. It needs to be updated to insure abundant water for our future. Third, affordability. We have an affordability crisis in Arizona that our current legislature refuses to acknowledge. Fourth, education. We are 49th in spending on education. We have 100 million dollars in fraud because of ESA vouchers. Our children deserve better from us. They are our future. According to Markers for Democracy "Arizona's state legislature is one of the most reactionary and harmful in the nation." Something needs to change and I would like to be one of the ones that helps make the needed changes.</t>
  </si>
  <si>
    <t>Selina Bliss</t>
  </si>
  <si>
    <t>As I wrap up my second term in office, I am happy to report I’ve kept my promises and built a strong conservative record on issues that matter to Arizona voters. Working with my seatmate, Representative Quang Nguyen, I prioritized efforts to boost the Arizona economy and fight inflation, secure our border and enforce our laws, and restore integrity to our election process. I have demonstrated a 100% pro-2nd Amendment record, led to secure our water future, fought to protect life, and prioritized both veterans and first responders. I also used my background as a nurse and educator to lead on healthcare issues and support medical freedom, while reducing fraud, waste, and abuse, and working to improve our schools and universities. I’ve lived in this District since 1971 and have been involved with a variety of political, civic, and charitable organizations. I’m committed to public service and am grateful for the trust you have placed in me. You have TWO votes for the State House, and I hope I can count on you to cast one vote for me so I can return to work alongside Representative Quang Nguyen to prioritize LD1 and keep Arizona great! I appreciate your support!</t>
  </si>
  <si>
    <t>Christine Ellen Dargon</t>
  </si>
  <si>
    <t>State Senator - District 1</t>
  </si>
  <si>
    <t>Senate</t>
  </si>
  <si>
    <t>Legislative District 1 deserves a senator who actually works for the people who live here and right now, we don't have one. Our current senator parachuted into this district after losing a statewide race and has spent his time denying elections, banning abortion with no exceptions for rape or incest, chasing national headlines while LD1's real problems go unaddressed. He does not work for you - I will! Our wells are failing as aquifers are drawn down by unregulated corporate pumping. Our schools are among the most underfunded in the nation. Families are driving two hours for basic medical care. These are not unsolvable problems. I will fight for groundwater protections that put LD1 families before corporate extraction interests. I will fight to fully fund our public schools and pay teachers what they deserve. I will fight to expand rural healthcare access so that a medical emergency doesn't also become a financial one or a tragedy because help is hours away. I will fight for zoning reforms that remove unnecessary barriers to workforce and affordable housing development, state investment in rural housing infrastructure, and tenant protections that keep working families stably housed. Solutions over stunts. Community over career. No special interests.</t>
  </si>
  <si>
    <t>Mark Finchem</t>
  </si>
  <si>
    <t>Justin Wilmeth</t>
  </si>
  <si>
    <t>State Representative - District 2</t>
  </si>
  <si>
    <t>Howdy everyone! I have had the honor of serving in the Arizona House of Representatives for the past six years. I've spent that time fighting against overreaching COVID mandates, lowering taxes, eliminating burdensome regulations, improving housing affordability and, yes, making Pluto the State Planet. I've been chairman of the House Commerce Committee, where I focused on improving economic development and bringing more jobs to the district. Currently, I serve as the chairman of the House Artificial Intelligence &amp; Innovation Committee, where I am helping guide the way on the new digital policy frontier. I want to help this technology be more beneficial to you! I've spent my entire career in public policy. I've worked a combined 12 years at two different state legislatures, including here in Arizona, where I was a policy staffer for the Republican Caucus. I also worked at Americans for Prosperity, a Conservative entity focused on lowering taxes, regulations and shrinking government wherever possible. I'm very proud to say I'm an effective Legislator for our district and I understand how to get the job done. I want to ensure Arizona continues to be friendly for free markets and individual liberties! I look forward to earning your support.</t>
  </si>
  <si>
    <t>Paul Carver</t>
  </si>
  <si>
    <t>As President of the Deer Valley Unified School District Governing Board, I have spent my tenure championing transparency, parental rights, and fiscal accountability in public education. Now, I am asking for your vote to bring that same principled, results-oriented leadership to the Arizona House of Representatives for Legislative District 2. Our community faces vital challenges that demand practical, battle-tested solutions. As a Marine Corps veteran, business analyst, and father, I understand the direct impact of state policy on our families, local businesses, and neighborhood schools. My platform centers on four core pillars: protecting taxpayer dollars through strict fiscal discipline, empowering parents to make the best educational choices for their children, strengthening public safety by fully supporting law enforcement, and addressing critical water concerns to secure the future of the Valley. After earning my place on the general election ballot through a successful primary write-in effort, I am deeply honored by the grassroots support of our community. Legislative District 2 deserves a representative who listens, operates with integrity, and delivers accountable governance. I promise to work tirelessly at the State Capitol to safeguard your freedom and build a stronger Arizona. I respectfully ask for your vote.</t>
  </si>
  <si>
    <t>Stephanie Simacek</t>
  </si>
  <si>
    <t>I am a mom, public school teacher, Deer Valley Unified School District governing board member, and an Arizona State House Representative. I first ran for office to strengthen public education, address our water crisis, and tackle rising costs, including childcare, healthcare, and housing. Since my election in 2024, I have had the honor and privilege to fight for these issues on behalf of Arizona’s second legislative district. These are not partisan issues; they affect us all, regardless of our political affiliation. As a public school teacher, I saw firsthand the positive impact of diverse teaching methods, dedicated staff, and engaged parents. As a mother, I’ve felt how hard rising costs in healthcare, housing, childcare, food, and utilities have hit Arizona families. As an Arizonan, I know we must act fast to ensure that future generations get to enjoy this great state we all know and love. I am seeking reelection this year because our work is far from finished. There is still so much we can do, and I remain committed to continuing that work on behalf of my neighbors.</t>
  </si>
  <si>
    <t>Amelia Gallitano</t>
  </si>
  <si>
    <t>State Senator - District 2</t>
  </si>
  <si>
    <t>My name is Amelia Gallitano. I’m a doctor, neuroscientist, professor, and mom. I moved here 19 years ago with my two sons to be a professor at the University of Arizona College of Medicine in Phoenix, and I’ve been educating new doctors ever since. I also cared for veterans with PTSD at the Phoenix VA for years. It does not take a PhD in neuroscience to see that something is very wrong in our legislature. Lawmakers are giving tax breaks to private plane owners while everyday Arizonans struggle to make ends meet. They are giving away a billion dollars with no accountability to private school vouchers while attacking the public schools that 90% of Arizona families choose. They want to take away Vote by Mail, which more than 75% of voters rely on. I’ve spent my life in public service, and I’m stepping up to work for everyday Arizonans. I will make healthcare more affordable, support our public schools and teachers, and stop corporations from driving up housing and energy costs. It’s time for a state senator focused on people, not corporate profits. I would be honored to represent you.</t>
  </si>
  <si>
    <t>Shawnna Bolick</t>
  </si>
  <si>
    <t>Actions and accomplishments speak louder than empty promises. Since 2019, I have represented you with a common-sense voice at the State Capitol. I have supported legislation to secure our border, reduce taxes, and improve affordability. I led the fight to make housing more affordable, lower inflation on our food and housing, and voted to pass one of the largest tax cuts in state history. I am proud of my votes to invest in our schools and teachers, fight drug trafficking and fentanyl, advance consumer protection, and end child sex trafficking. As a mom, tackling public safety issues is personal to me - and critical for our community. I will continue to champion commonsense solutions to the challenges facing our community, from standing up for veterans to protecting our water supply. Please visit my website at www.BolickforArizona.com to learn more or ask questions, and I humbly ask for your vote. Thank you! Shawnna</t>
  </si>
  <si>
    <t>Cody Reim</t>
  </si>
  <si>
    <t>State Representative - District 3</t>
  </si>
  <si>
    <t>George Khalaf</t>
  </si>
  <si>
    <t>I’m George Khalaf and I’m proud to be running to represent LD3 in the Arizona House. We need leaders to cast and deliver a conservative vision for our state, and that’s why I stepped up. First and foremost, I’m a Christian, husband to Briana, father to three sons and an America-First conservative. My parents immigrated legally to the US from Lebanon to give their children a chance to experience freedom and the American dream. I wake up every day grateful to live in the greatest country in the world. I’ll focus on growing a pro-family economy through low taxes, more efficient government, and pro-small business policies. I’ll support strong families by defending parents’ rights, opposing woke indoctrination and making education work for parents and students. Safe communities start with a secure border. I’ll back our men and women in law enforcement and vote for policies that keep criminals off our streets. I’ll defend our Constitutional Freedoms of life, free speech, religious freedom and the 2nd Amendment. I’ll fight for free and fair elections with full transparency. As your representative, I'll answer to the people and my principles–not special interests. Together, we’ll make Arizona’s next 10 years free and prosperous.</t>
  </si>
  <si>
    <t>John Skirbst</t>
  </si>
  <si>
    <t>A moderate and independent voice. Fiscal conservative and liberal leaning on social issues. A problem solver that can place sound judgement above party politics. Helping to shape and pass bipartisan laws will be a priority. Reinventing the economy for the 21st century and lowering costs for Arizona families. This includes repairing a broken health care system. Ensure a sustainable water supply in Arizona. Solutions include upgrading infrastructure and improving water management and conservation strategies. Securing Arizona’s border and fixing a broken immigration process. This includes investments in technology, staffing, and barriers where they make sense. You have a second amendment right to bear arms. With rights though must come responsibilities. Common sense gun laws can help keep our communities safe. I respect your right, if you oppose abortion. So please respect each woman’s right to choose what is best for her own body and unique circumstances. Please cast one of your two votes for an independent candidate.</t>
  </si>
  <si>
    <t>Julie Gable</t>
  </si>
  <si>
    <t>I raised my family here. I built a career here. And I've watched our state's challenges become personal ones. As an executive, I led teams through hard decisions with high stakes and real, human consequences. Most recently, as the CEO of a healthcare company with more than 250 employees across multiple campuses, I managed a tight budget that required significant cost-cutting efforts. I led our team through a 30% budget reduction without cutting quality of care. Now, I want to put my real-world experience and steady judgment to work for the community I love. I'm running because Arizona deserves leaders who solve problems instead of just talking about them. That starts with making healthcare more affordable by holding insurance companies accountable, reducing unnecessary administrative burden on healthcare providers, and targeting fraud, waste, and abuse. It also means ensuring technology serves people responsibly, strengthening our public schools, and securing our water future for generations to come. I'm not accepting money from big donors or special interests. As a Clean Elections candidate, I am only accountable to the community I serve. I'm not a career politician. I'm a mom, a business owner, and your neighbor. I'm proven, principled, and pragmatic. And I'd be honored to earn your vote.</t>
  </si>
  <si>
    <t>Richard "Rick" Robert Spargo</t>
  </si>
  <si>
    <t>I stand for Common Sense and Moderation. You won’t find any extremism here. Our District and Arizona deserve leadership grounded in practicality, not partisanship. The challenges we face are water scarcity, underfunded public schools and the rising cost of living. I call for cooperation and real solutions that bring people together, not drive us apart. Securing our water future must be a top priority. We must invest in conservation, expand water reuse, and protect our supplies from overuse and speculation. Arizona can grow while preserving sustainability. Strong public education is the foundation of opportunity. I’ll work to ensure every classroom has the teachers, resources and support needed to help students thrive. Affordability matters. From housing to energy to healthcare. I will champion for policies that keep Arizona livable for working families, small business owners and seniors alike. I’m running to restore moderation and respect to our politics, focusing on results over ideology, collaboration over conflict, and responsibility over division. Together, we can build a balanced, forward-looking future rooted in common sense.</t>
  </si>
  <si>
    <t>Jeffrey Fortney</t>
  </si>
  <si>
    <t>State Senator - District 3</t>
  </si>
  <si>
    <t>I am running for State Senate in Legislative District 3 for several reasons. Too many families in Legislative District 3 are feeling the economic impact of decisions being made federally and rubber stamped locally. Many are trying to balance working (sometimes multiple jobs), while paying for child care, medicine and other increasing costly expenses. These people are feeling the effects of national economic decisions locally, while local legislators rubber stamp policies that are driving up these costs. Families are effectively being billed an average of $2,300 due to illegal tariffs. Grocery prices continue to climb while local legislators are doing nothing to support working families. They are in fact making it even more difficult for working families to feed and support their children. I will work tirelessly to support working families in Arizona. In addition, I have a long record of protecting, supporting, and respecting vulnerable children while many local legislators bully these same children while supporting and protecting powerful people who are taking advantage of children. Voters are looking for leadership that prioritizes lowering everyday costs and holding decision-makers accountable for policies that hurt American families. I want to be their advocate at the state capitol.</t>
  </si>
  <si>
    <t>John Kavanagh</t>
  </si>
  <si>
    <t>I am running for re-election because Arizona deserves experienced, steady leadership that delivers results. Throughout my legislative service, I have worked to protect our communities, strengthen public safety, and ensure government remains accountable to the people. With a background in law enforcement and years of legislative experience, I understand the challenges facing our state and the practical solutions needed to address them. I have fought to secure Arizona’s borders, support law enforcement, and keep our neighborhoods safe. I believe in responsible government, keeping taxes low, controlling spending, and reducing unnecessary regulations so families and businesses can thrive. Arizona’s continued success depends on affordability and economic growth that protects taxpayers. I am also committed to defending Arizona’s water resources, defending school choice, and keeping "woke" ideologies out of our schools - classrooms should focus on academics, not politics. Additionally, I have supported improvements in transportation infrastructure and investments in education. There is still important work to be done. I ask for your support to continue delivering commonsense leadership to keep Arizona safe, prosperous, and free.</t>
  </si>
  <si>
    <t>Karen Gresham</t>
  </si>
  <si>
    <t>State Representative - District 4</t>
  </si>
  <si>
    <t>As a school board member, she oversees multimillion-dollar budgets, advocates for responsible fiscal management, and supports educators and staff. This gives her the skills and experience needed to carefully evaluate policy for their impact on the public while collaborating with fellow board members. If elected to the legislature, Karen will work for public education funding, fiscal accountability, and an affordable Arizona with a budget that works for everyone. I’m a third-generation Arizonan who believes our state works best when we invest in opportunity and manage our finances responsibly. As a former CPA and graduate of Arizona State University, I understand how to build balanced budgets and analyze data to make smart decisions. I am currently serving my second term as an elected member of the Madison Elementary School District governing board. I know what Arizona schools, teachers, and students need. I am running to strengthen public education, restore fiscal accountability, and ensure an affordable Arizona with a budget that works for everyone. I look forward to representing LD4 in the State House and working on sensible solutions to the challenges we face.</t>
  </si>
  <si>
    <t>Matt Gress</t>
  </si>
  <si>
    <t>Matt Gress represents District 4 in the Arizona House of Representatives, delivering real results for Arizona families. A conservative Republican, Matt believes in securing our border, cutting taxes, balancing budgets, and protecting individual liberty. At the Capitol, Matt has proven he can get things done. He authored and passed the most comprehensive school safety legislation in decades, led the effort to enact Preston’s Law to crack down on teen mob violence, and secured funding to support law enforcement families and strengthen recruitment. He has worked to increase teacher pay, lower the cost of living, and keep Arizona free, competitive, and open for opportunity. Matt’s story is rooted in hard work. Raised by a single mom in a small town in Oklahoma, he worked his way through college by driving school buses and became the first in his family to earn a degree. He later taught high school and served on a local school board, fighting to keep schools open during COVID-19 and expand educational freedom. Before the Legislature, Matt served as Arizona’s budget director, helping deliver the largest tax cut in state history. Matt Gress is a proven conservative fighting to keep Arizona on the right track.</t>
  </si>
  <si>
    <t>Pamela Carter</t>
  </si>
  <si>
    <t>Pamela Carter — Arizona House of Representatives, Legislative District 4 Republican | Candidate for Reelection My name is Pamela Carter. I'm a fourth-generation Arizonan, small business owner, and proud representative of the community I've called home my entire life. In my first term, I was appointed Vice Chair of the Public Safety and Law Enforcement Committee, a leadership role rarely given to a freshman, and I worked to earn it. I passed legislation protecting deployed military service members from unfair vehicle taxes, championed Arizona's nuclear energy future, and stood against powerful corporate interests to defend Scottsdale's right to vote on its own development decisions. This session, I sponsored Cade's Law to hold accountable those who encourage minors toward suicide online, legislation targeting sexual extortion of minors, and bills protecting Arizona homebuyers and expanding access to our state's critical minerals. My priorities haven't changed: safe communities, strong law enforcement, parental rights in education, local control, low taxes, and secure elections. LD4 deserves a representative who shows up, listens, and puts Arizona first. That is the commitment I make to you every day. I humbly ask for your vote. pamelacarter.com</t>
  </si>
  <si>
    <t>Tammy Caputi</t>
  </si>
  <si>
    <t>I’m Tammy Caputi, and I’m running for the Arizona House of Representatives because Arizona needs leaders who know how to create jobs, balance budgets, and deliver results—not just talk about them. For decades, I've signed the front of paychecks, not the back, and that's the perspective I'll bring to the Legislature. As a small business owner, every payroll represents families who depend on the decisions I make. I've navigated economic uncertainty, rising costs, and tough challenges while keeping people employed and growing a successful business. That experience taught me that leadership means solving problems, making difficult decisions, and being accountable for the results. As a Scottsdale City Councilmember, I worked across the aisle to keep taxes low, invest in infrastructure, strengthen public safety, protect our water future, and deliver practical solutions for our community. If elected, I will fight to keep Arizona affordable, support small businesses, strengthen our education systems, protect taxpayers, and create more opportunity for working families. Too many politicians have spent their careers making promises. I have spent mine making payroll. I will bring that same accountability, common sense, and results-driven leadership to the Arizona House of Representatives. I humbly ask for your vote and trust.</t>
  </si>
  <si>
    <t>Aaron Lieberman</t>
  </si>
  <si>
    <t>State Senator - District 4</t>
  </si>
  <si>
    <t>Aaron Lieberman is running to deliver practical, results-driven leadership for Arizona families, focused on tackling the state’s affordability crisis, strengthening public education, and building an economy that works for everyone. If elected, Aaron will work to lower everyday costs, address rising housing prices, and expand access to affordable healthcare so families don’t have to choose between paying bills and getting care. He will increase teacher pay and invest in neighborhood public schools to ensure every child has the opportunity to succeed. Aaron is committed to supporting small businesses, creating pathways to good-paying jobs, and growing a strong, sustainable economy. He will also focus on keeping communities safe by supporting law enforcement and ensuring first responders have the resources they need to do their jobs, while protecting Arizona’s water future through responsible, long-term planning. Aaron believes government should deliver real solutions to the problems Arizona families are facing. Aaron has a proven record of working across the aisle to pass meaningful legislation and will continue that approach to deliver results. His goal is simple: make Arizona a place where every family has the opportunity to succeed.</t>
  </si>
  <si>
    <t>Carine Werner</t>
  </si>
  <si>
    <t>As a mom of three Scottsdale public school graduates, I have championed educational excellence and commonsense solutions to the challenges facing our state. In the State Senate, I have fought to keep our children safe, supported small business owners, voted to reduce your taxes, and funded law enforcement. As Senate Health Chair, I have made it a priority to streamline government agencies, improve transparency, and expose waste, fraud, and abuse. The issues facing Arizona are not partisan, which is why I’ve worked across the aisle to improve care for foster children, protect vulnerable Arizonans, and make government programs more effective. Together, we delivered one of the largest tax cuts in state history. I’m proud to have almost two dozen bipartisan bills signed into law in my first term - but our work isn’t done yet. We need proven leadership and elected officials who will tackle critical issues while staying true to the people they represent. I will fight to protect the community we love, secure our water, lower costs, and create new opportunities for the next generation. I am grateful for your support and encouragement. Learn more and get involved at www.wernerforaz.com.</t>
  </si>
  <si>
    <t>Aaron Marquez</t>
  </si>
  <si>
    <t>State Representative - District 5</t>
  </si>
  <si>
    <t>Sarah Liguori</t>
  </si>
  <si>
    <t>I’m running to use thoughtful policy and meaningful advocacy to improve people’s lives. I believe government should remove structural barriers, expand opportunity, and focus on the issues that matter most for people, like affordability, access to care, good paying jobs, and safe communities. In the Legislature, I’ve successfully worked to protect reproductive rights, expand housing options, and advance water and environmental solutions that secure our future. As a mom, these issues are personal. I’m focused on building a state where families can thrive, public education is strong, and our kids are prepared for the workforce of tomorrow. My approach is grounded in listening, building relationships, and working collaboratively to deliver real results for Arizona.</t>
  </si>
  <si>
    <t>Christine Marsh</t>
  </si>
  <si>
    <t>State Senator - District 5</t>
  </si>
  <si>
    <t>I was first elected to the State Senate in 2020 and served two terms. I have a record of supporting reproductive rights, gun safety, voter protection, clean air, safe water, and education. I originally ran for office because I knew I could be a voice for public-school students, teachers, and staff. As a former English teacher with as many as 44 students in a class, I know what it means to be underfunded and understaffed—and I still do; my teaching experiences guided my work as a member of the Education Committee. I also served on the Transportation Committee where I advocated for public transit and investments in transportation infrastructure. One party rule has stifled Arizona and harmed vulnerable populations. Too many good bills fail without a hearing and it is too easy for extreme legislation to pass with just partisan support. I was able to sponsor and pass a bill to legalize fentanyl testing strips after losing my youngest son to an accidental overdose, but there is more work to be done to mitigate the loss of life due to Arizona’s drug crisis—and I will continue to focus on reducing access to fentanyl and other dangerous drugs.</t>
  </si>
  <si>
    <t>Jason LaForest</t>
  </si>
  <si>
    <t>Serving as Chief Financial Officer for the Corporation Commission, the Department of Gaming, and the Arizona State Hospital, I witnessed firsthand systemic failures in oversight, accountability, and governance across Arizona’s public institutions. These experiences shaped a core belief: when Arizonans aren’t getting results, the solution isn’t to blame the processes at the bottom, it’s to reform systems at top. I’m running to restore professionalism, strengthen accountability, and return rules-based governance to state government. By modernizing oversight and reinforcing legislative accountability, we can reverse institutional decline and rebuild a public service that delivers for every Arizonan. Government reform motivated me to run for office, but my campaign is about more. As a Clean Elections Candidate, I will work to remove corporate money and influence from political campaigns. Arizona’s initiative, referendum, and recall processes, along with vote by mail, are cornerstones of our democracy; they must be protected, and expanded in ways that meet today's voters. Above all, as an independent, I am committed to effectively representing Central Phoenix as State Senator for LD5. If you are in this district, I want to hear from you. Please visit my website and share the issues that matter most to you.</t>
  </si>
  <si>
    <t>Brendan Trachsel</t>
  </si>
  <si>
    <t>State Representative - District 6</t>
  </si>
  <si>
    <t>Brendan Trachsel believes government is supposed to work for people, not donors or party leaders. That belief is why he's running for State Representative in Legislative District 6 as a Green, free from corporate pressures that shape what both major parties are willing to fight for. Brendan earned a B.S. in Parks and Recreation Management and an M.Ed. in Counseling - Student Affairs from Northern Arizona University, and spent years organizing in Flagstaff. After nine months of coalition advocacy, he pushed the city to cancel its Flock Safety surveillance contract. That's the kind of work he brings to the legislature. Arizona is being sold to the tech industry. AI data centers are draining our water, straining our grid, and being waved through with little public input. Brendan will fight for a statewide moratorium and people-centered regulations that put communities before corporations. His other priorities are straightforward: collective bargaining for all, full funding for public schools, strong privacy protections, and a democracy free from dark money. Brendan answers only to the people of LD6. At 25 years old, he's part of a generation that grew up watching institutions fail and decided to do something about it.</t>
  </si>
  <si>
    <t>Ian Teller</t>
  </si>
  <si>
    <t>Ian Teller is running for State Representative in Legislative District 6 to bring bold, community- centered leadership to Northern Arizona. Rooted in his Diné upbringing, Ian believes in building a future where families are supported, communities are connected, and no one is left behind. His priorities begin with strengthening public education by ensuring schools are fully funded, culturally responsive, and accessible to every child—because no student should feel unsafe or unable to learn due to financial hardship. Ian is also focused on addressing the housing crisis by advancing smart housing solutions that build communities, not just homes, with infrastructure that supports long-term growth in rural and Tribal areas. He is committed to tackling the rising cost of living by supporting policies that improve affordability for working families. Protecting the environment and securing water rights are central to Ian’s vision. He is committed to safeguarding natural resources for future generations while promoting sustainable development. Ian is running a people-powered campaign, rejecting corporate and special interest money to remain accountable only to the people of LD6. Through collaboration, transparency, and respect for community voices, Ian Teller is ready to serve and deliver meaningful change for Arizona.</t>
  </si>
  <si>
    <t>Mae Peshlakai</t>
  </si>
  <si>
    <t>Representative Mae Peshlakai is Diné - Tangle People Clan and born for the Deer Water Clan, maternal grandfathers are of the Salt clan and paternal grandfathers are of the Rock Gap clan. She is a boarding school survivor. Mae attended a U.S. Federal Bureau of Indian Affairs Boarding School in Tolani Lake, Arizona, 100 miles northeast of Flagstaff, Arizona.. Mae was married to James Peshlakai, an accomplished silver and goldsmith. She took up silversmithing and, to this day, makes jewelry every day as well as weaves. She and her husband worked with prestigious colleges and universities across the nation sharing the Navajo culture and assisting scholarly research. Mae knows the issues and challenges of District 6 and has worked tirelessly for two terms representing all the communities of District 6. In 2025, Representative Peshlakai fought and voted for a budget that made historic investments in Indigenous Tribal healthcare and traditional healing practices. Rep. Peshlakai was elated to support an opportunity to leverage $100,000 from the state to secure more than $220 million in federal matching funds to cover culturally relevant traditional healing practices that are vital to our way of life and well-being.</t>
  </si>
  <si>
    <t>Jamescita Peshlakai</t>
  </si>
  <si>
    <t>State Senator - District 6</t>
  </si>
  <si>
    <t>I am Navajo of the Tangle People Clan, born for the Red House clan, maternal grandfathers are of the Deer Water clan, and paternal grandfathers are of the Cliff Dweller clan. I was born north of the sacred mountain of the west, Doo'ko'osliid (the San Francisco Peaks). Funding public education, providing for our youth and elders, and protecting the environment will be key tenants of my service at the legislature. Tribal sovereignty must be respected and being LD 6 this district represents 10 tribes in Arizona, it's vital that we elect a representative who can work with these tribes and advance their interests at the state legislature. We are the largest, most rural district in the state and we deserve representation that will travel to meet people where they are at. I am committed to serving the people of Arizona.</t>
  </si>
  <si>
    <t>Lloyd Johnson</t>
  </si>
  <si>
    <t>I am not a politician, I am a Statesman. A "statesman" and a "politician" are both individuals involved in public affairs, but they are often distinguished by their motivations and perceived impact. A statesman is generally viewed as someone who prioritizes the long-term well-being and interests of their nation or community, often acting with integrity and statesmanship. In contrast, a politician is often perceived as someone primarily driven by personal ambition, electoral success, or party interests, potentially at the expense of broader public good. Here's a more detailed breakdown: Statesman: Focus: Long-term public good, national interests, and ethical principles. Actions: Guided by a sense of responsibility, integrity, and a desire to leave a positive legacy. Perception: Often viewed with respect and admiration for their wisdom and leadership. Example: Figures like George Washington are often cited as examples of statesmen. Politician: Focus: Electoral success, party loyalty, and personal advancement. Actions: May prioritize short-term gains, compromise on principles for political expediency, or engage in tactics that are seen as self-serving. Perception: Can be viewed with skepticism or distrust, particularly if their actions are perceived as opportunistic or self-serving. In essence, while both statesmen and politicians operate within the same sphere of public life, the distinction lies in their motivations, priorities, and the perceived impact of actions.</t>
  </si>
  <si>
    <t>David Cook Sr.</t>
  </si>
  <si>
    <t>State Representative - District 7</t>
  </si>
  <si>
    <t>I’m a work horse whose rural roots are deep and real. I’m a rancher and state leader on issues related to water, agriculture, ranching, and more. My record is 100% pro-Taxpayer, pro-2nd Amendment, pro-Life, and pro -Constitution. I’ve delivered college and K-12 funding for our classrooms and teachers, I’ve championed real election integrity measures, pushed to secure our borders and enforce our laws, and brought funding to our district to improve our roads, highways and bridges. Payson, Globe, Florence, Williams, Heber, Show Low, Snowflake or Pinetop-Lakeside aren’t just places on a map, they’re my towns and people. I support President Trump’s fight against the DC swamp and ran the bill to Term Limit Congress. I’m running as a team with Walt Blackman because we share conservative values, we both fight for rural Arizona, and I appreciate his service to our nation and the integrity he brings to the job. You get TWO VOTES for State House, so please vote David Cook AND Walt Blackman. Thank you!</t>
  </si>
  <si>
    <t>Richard Grayson</t>
  </si>
  <si>
    <t>I have been active in Democratic politics since 1964, when at 13 I handed out leaflets on a street corner near my Brooklyn home reading "Get on the Johnson, Humphrey, Kennedy Team" – strategically linking Bobby Kennedy's high-profile, out-of-state Senate bid to the popular Johnson-Humphrey ticket. This year I'm asking LD7 Democratic voters to look past my pro forma Green Party designation, because I am a member of the "Hobbs, Fontes, Mayes, Mike Montiel, Sam Martin, et al. Democratic Team." Between 1994 and 2004, I ran as a write-in candidate against three Republican U.S. House members from Florida when no Democrat was on the ballot, and did the same against unopposed Arizona Rep. Paul Gosar in 2022. In 2014, I was the Democratic nominee for Wyoming's lone Congressional seat and won Teton County when the nominees for governor and senator were losing it. I am anti-Trump, anti-MAGA, and antiwar. I took part in local No Kings and ICE-Out demonstrations, and worked in the campaigns of George McGovern, Bill Clinton, John Kerry, Barack Obama, and other Democrats. In the highly unlikely event a progressive like me is elected to the Arizona legislature, I would, of course, join the Democratic majority caucus.</t>
  </si>
  <si>
    <t>Samuel "Sam" Martin</t>
  </si>
  <si>
    <t>This year, it's important to make the right choice for legislator. I'm the right choice for LD7: I know the real pitfalls and potential of technologies like social media and AI - my opponents will believe any salesman who walks in the door. I will ensure healthcare access for every Arizonan - my opponents will let you die in a gutter. I know the value of good public schools because I went to them - my opponents will never do anything for public education but tear it down. I am the only candidate who will stand up the the corruption, cruelty, and chaos coming from Washington DC. The choice is clear - vote for Sam!</t>
  </si>
  <si>
    <t>Walter "Walt" Blackman</t>
  </si>
  <si>
    <t>As a veteran, I don’t use words like honor casually. So when I tell you that I’m honored to serve as your State Representative, please know how sincerely I mean it. I campaign as an Arizona First conservative and then I govern just like I said I would. That means I’m working hard on advancing our shared goals: A strong rural economy, quality schools and school choice, secure borders and secure elections, medical freedom, religious liberty, low taxes, rural infrastructure, protecting our water, passing Term Limits on Congress, protecting our Constitutional rights, and much more. I’m running as a team with David Cook because he has a very strong record of championing rural Arizona’s needs, and I believe we’ll be a dynamic and effective team. I’m a proud combat veteran who believes in the greatness of America, if we fight to defend it. I ask for your vote and thank you for the trust you have placed in me. You get TWO VOTES for State House, so please vote Walt Blackman AND David Cook. Thank you!</t>
  </si>
  <si>
    <t>Michiel "Mike" Montiel</t>
  </si>
  <si>
    <t>State Senator - District 7</t>
  </si>
  <si>
    <t>I would be the kind of Senator who leads by listening, works across differences, and never forgets that public office is a responsibility—not a privilege. As an Army combat veteran, father, educator, small business owner, and lifelong community volunteer, I have learned that the best leaders show up, keep their word, and focus on solving problems rather than creating them. I believe every constituent deserves to be heard, treated with respect, and represented with honesty and transparency, regardless of political affiliation. My priorities would be building a stronger Arizona by improving affordability, expanding access to quality healthcare, strengthening public education, supporting veterans, protecting our water resources, and creating economic opportunities that allow families and small businesses to thrive. I would approach every decision with an open mind, guided by facts, fiscal responsibility, and the long-term interests of our communities. Above all, I would measure my success not by headlines or rhetoric, but by the positive impact my work has on the people I serve.</t>
  </si>
  <si>
    <t>Wendy Rogers</t>
  </si>
  <si>
    <t>Pro-Trump, AMERICA FIRST Senator Wendy Rogers is Pro-Border, Pro-Life, Pro-Gun, Pro-ESA School Choice, and Pro-Free Market. As Chair of the Arizona Senate Judiciary and Elections Committee, Senator Rogers has accomplished hard-fought-for ELECTION INTEGRITY legislation to restore faith in our election processes. Sponsored and passed 2nd Amendment legislation, consumer protection bills, got numerous critically-needed rural and natural resources projects funded for her district, as well as veterans legislation passed. Senator Rogers continues to FIGHT EVERY DAY for us. SHE GETS IT DONE! Current pilot who constantly flies across her vast district to serve her beloved constituents. Tough as nails. Smart. Unrelenting. Homeschool mom of 2 and grandma of 7. Re-elect Senator Wendy Rogers for rural Arizona... re-elect Senator Rogers really for ALL of Arizona!</t>
  </si>
  <si>
    <t>Brian Garcia</t>
  </si>
  <si>
    <t>State Representative - District 8</t>
  </si>
  <si>
    <t>For Brian's family, education is the American Dream. He was born and raised in Arizona by parents from El Salvador and the Pascua Yaqui Tribe in Mexico. Upon becoming citizens, they fought to ensure Brian and his brother Aaron had access to opportunities. Brian’s desire to serve is rooted in fighting for our families and our community. This is our home. Brian was raised by our community. He was the first in his family to graduate from high school, college, graduate school, and earn a law degree. Brian has been successful because of teachers, mentors, and community leaders who have helped along the way. One teacher is Mindy Udall – his Social Studies teacher. She instilled the importance of civic engagement. It is because of teachers like Mindy who have gone above and beyond for first-generation students like Brian that create opportunities for us to grow and give back to our communities. Brian is a tested leader in the fight for public education, working families, indigenous rights, immigrants, and our democracy. Brian is an advocate and a proud product of the LD8 community. Rep. Brian Garcia is running as a Clean Elections candidate for re-election to the AZ House.</t>
  </si>
  <si>
    <t>Donald Hawker</t>
  </si>
  <si>
    <t>This is an office of lawmaking. But the Democrat party defines fantasy over our legal processes as the model for human relationships. So, if one thinks they are the sex opposite from their biology, that trumps the rule of law If a “migrant” comes here illegally, we need to put his (and the Democrat party's) desires over prudent, life and nation securing immigration law. If a conceived baby is unwanted, (s)he may be redefined as a blob of tissue and legally dismembered. While it saddens me to witness widespread embracing of this moral relativity, it's not surprising that its spiritual emptiness manifests in organizing to achieve power. But most disquieting to me are those Catholics who, although Democrat dedication to sins crying out to Heaven for vengeance totally contradicts their professed church's teaching about salvation, comprise over 20% of the Democrat party. It's not just cooperating in the sins by condoning, but enabling the perpetrating party to impose them on society, seriously jeopardizing one's own and everyone's favorable temporal and eternal outcome. Vote “progressive”? We have founding mottos: “in God we trust” and “God provides”. Let's not “progress” from responsible faith to a mad mad mad mad Democrat world.</t>
  </si>
  <si>
    <t>Janeen Connolly</t>
  </si>
  <si>
    <t>Already forging a path for success! As of this writing (3.28.26) Rep. Janeen Connolly has passed two bills out of the House and one through a Senate committee. She has signed-on to bills that accomplish the following: Job creation: Consistently voting to grow the Arizona economy, Rep. Connolly has bolstered bills that create jobs locally and across the state. Housing: A fierce advocate for making homes affordable for Arizonans, this year’s focus has been on reshaping policy for STR’s, helping opponents accept what she calls “appropriate pockets” for middle housing and uncovering the issues behind corporate housing ownership. Energy Leadership: Leveraging her professional expertise to ensure Arizona’s energy needs are met reliably and sustainably, Rep. Connolly votes for sound energy policy. In addition, she was selected to serve on the Western Energy Caucus representing Arizona among ten western states to focus on critical energy and wildfire policy. Finally, in August Rep. Connolly was uniquely recognized by The AZ League of Cities and Towns. As a freshman legislator she sponsored the League housing bill which essentially defeated a bill working to circumnavigate permitting and building codes for new homes. She was also presented a League Champion Award.</t>
  </si>
  <si>
    <t>Bill Loughrige</t>
  </si>
  <si>
    <t>State Senator - District 8</t>
  </si>
  <si>
    <t>I believe we must elect leaders who will use common sense when voting to create laws that protect us rather than restrict us. We must protect women’s sports from male competitors, men in women’s dressing rooms, our sovereignty and the need to have substantive, calm, open, debate on important issues that affect our everyday life. Incumbent Democrat, Lauren Kuby supports the radical national Democrat agenda that would change basic tenets of our government and culture. Democrat politicians present themselves as moderate, but their allegiance to the socialistic national party is anti- capitalist, anti-democratic and anti-American, and one that rejects individualism for the “warmth of collectivism”. This includes rank choice primaries resulting in one party rule, they call for the defunding of police, abolishing ICE, implementing cashless bail, open borders, allowing males in female changing areas even where children are present, allowing men to compete in women’s sports and attacking our 2 nd Amendment rights. Democrats support immigration policies that negatively impact wages, education, medical benefits and housing, and sanctuary policies that impact safety in our communities. They reject other common-sense initiatives like school choice, voter ID laws and elimination of fraud and abuse in government managed programs. See bill4ld8.com</t>
  </si>
  <si>
    <t>Lauren Kuby</t>
  </si>
  <si>
    <t>State Senator Lauren Kuby has spent her life standing up for Arizona families and the values that strengthen our communities. Throughout her career, she has championed fully funded public education, affordable housing, voting rights, climate solutions, and protections for LGBTQ+ people and working families. Lauren’s advocacy for people over corporate interests earned her Progress Arizona's "Rookie of the Year" award alongside numerous accolades from groups like Sierra Club. Lauren believes public service should put people first. That's why she refuses campaign contributions from registered lobbyists, corporate PACs, utilities, and developers. She answers to the people she represents in Tempe, Scottsdale, Mesa, Phoenix, and the Salt River Pima-Maricopa Indian Community—not wealthy special interests. Lauren will continue fighting to: • Grow Arizona's clean energy economy to reduce pollution, create good-paying union jobs, and lower energy costs. • protect Arizona's water with science-based planning and responsible management. • fully fund public schools, from Pre-K through higher education. • expand access to affordable housing so more families can stay in communities they love. • protect immigrant communities and defend the rights and freedoms of every Arizonan. • safeguard Arizona's popular vote-by-mail system and every citizen's right to vote. Re-Elect Lauren Kuby for State Senate.</t>
  </si>
  <si>
    <t>Bradley D. Bettencourt</t>
  </si>
  <si>
    <t>State Representative - District 9</t>
  </si>
  <si>
    <t>I am running for the State House in LD9 because our district needs practical, results-driven leadership. Our community deserves representatives who can work outside the political extremes and focus on getting things done. As a small business owner, I understand the importance of accountability and delivering real results. I also serve as the volunteer President of Dobson Ranch. I ran for the HOA board not because I am a fan of HOAs, but because there were serious issues that needed to be fixed, especially financially. In 2024, our board delivered a $400,000+ surplus, the first strong financial turnaround in years. These experiences reflect how I lead, with a focus on accountability, sound decision-making, and measurable outcomes. I will work with anyone willing to put results ahead of political posturing and do what is right for our community. It would be an honor to bring my spirit of problem-solving as your State Representative and to promote the needs and priorities of my home district.</t>
  </si>
  <si>
    <t>Jacob D. Martinez</t>
  </si>
  <si>
    <t>I have lived in Mesa my entire life, and have always been dedicated to serving my community. Coming from a working-class family, I know how important a strong public education system and opportunities for economic mobility are to the people in my community, as they have been for me. Over the last few years, the state legislature has drained funding to our public schools and critical social services, all while pushing a politicized agenda and allowing corporations to drive up the cost of housing, healthcare, and utilities in our state. I'm running to help build an Arizona that works for all of us, not just a few. An Arizona that we can all afford. I believe LD9 deserves a representative who listens, shows up, and works every day to deliver real results.</t>
  </si>
  <si>
    <t>Lorena Austin</t>
  </si>
  <si>
    <t>As a fifth-generation Arizonan, Mesa native, and former educator, my connection to this community is personal. My Nana and Tata, who owned a local grocery store in the Washington/Escobedo Park neighborhood, were community advocates who exemplified the importance of community service. My father’s work as a civil rights attorney and my mother’s work as a teacher and social worker taught me to value diverse perspectives and inspired me to run for office. I graduated from Mesa Community College with an AA in Sociology, and Arizona State University with a degree in U.S. and Mexico Regional Immigration Policy and Economy. As your Representative, I’m proud to have secured over 40 million dollars in tuition assistance through the Arizona Promise Program and funding for childcare assistance and our local food banks. I sit on the Appropriations and Public Safety committees and am the Ranking Member on the International Trade committee. When re-elected, I will continue to champion public education, affordable housing, and water conservation. Amidst ongoing challenges from the Federal Government, my dedication to serving and safeguarding our community remains steadfast, and I am eager to continue working for all Arizonans.</t>
  </si>
  <si>
    <t>Bridget Fitzgibbons</t>
  </si>
  <si>
    <t>State Senator - District 9</t>
  </si>
  <si>
    <t>I’m running for the Arizona Senate to bring common sense, bipartisan solutions to the big issues impacting Arizona families. As your State Senator, I will work to secure Arizona’s water future, make homeownership more affordable for the generations coming up behind us, invest in our aging infrastructure, work with our universities on innovative ways to close the doctor and nursing shortages across the state and ensure every Arizonan can access quality healthcare. I intend to focus on solutions that benefit all Arizonans and set our state up for long-term success. We need a strong economy, safe neighborhoods, high-quality schools while also being fiscally responsible for taxpayers. You can also count on me to bring civility and integrity to the Arizona Capitol. I was raised with the discipline of civic-minded educators and a family rooted in public service including relatives in the U.S. Air Force, U.S. Navy, and the Chicago Police and Fire Departments. Giving back to community is a part of who I am. I understand what’s at stake for Arizona families and will never stop working to deliver on their behalf.</t>
  </si>
  <si>
    <t>Kiana Maria Sears</t>
  </si>
  <si>
    <t>My faith directs me to lead with love and drives my ability to work with all members of the Legislature. My life’s ethos is, “To whom much is given, much is required” (Luke 12:48). This ethos reminds me that the freedoms we enjoy were paid for by service members like my dad; serving my constituents is the least I can do to say thank you. My record of service demonstrates that I listen to my community and take action. This session, I secured $60 million for education, more services for homeless youth, $2 million in fresh produce for needy families, $2 million for meals and essential services for the elderly, and $2 million for the Arts Commission, which benefits all Arizonans. Lastly, I am championing bipartisan legislation for traditional and charter schools to inform students of the Free Application for Federal Student Aid (FAFSA) for post-secondary learning opportunities including trade and vocational schools, certifications, community colleges and universities. Less than half of Arizona’s high school graduates have applied for FAFSA funds in the last two years. This legislation seeks to increase the number of Arizona youth accessing career and academic opportunities after high school.</t>
  </si>
  <si>
    <t>Brian Calaway</t>
  </si>
  <si>
    <t>State Representative - District 10</t>
  </si>
  <si>
    <t>I am a former science educator that realized around 2010 that we were not cultivating the skills in our children for them to create society with our values in mind. So I left teaching and began running after school enrichment programs for parents who wanted their children to have these skills. And now, I not only want future generations but our generation to have a society and a connected community that can provide them with jobs, housing, and education. My beliefs stem from FDR’s second bill of rights which believes we should all have access to education, jobs, housing, food, healthcare (Not sick Care), and everything for us to be successful as humans because economic rights mean economic freedom for all. www.BrianCalaway.com</t>
  </si>
  <si>
    <t>David Scott</t>
  </si>
  <si>
    <t>I’m running for State House of Representatives because too many people in our community are doing everything right and still falling behind. The cost of living keeps rising, small businesses are under pressure, and confidence in our institutions is breaking down. I’m not a career politician. I’ve spent over two decades working with local businesses, helping them grow, hire, and navigate real challenges. I’ve seen firsthand where policy works and where it doesn’t. My focus is simple: make Arizona more affordable, strengthen education, and support small businesses. That means practical solutions including expanding workforce and housing pipelines, improving accountability in education spending, and making it easier for entrepreneurs to access capital and grow. I’m running as an independent because I believe our state needs leadership that prioritizes people over politics. We don’t have to choose between parties. We can choose common sense, transparency, and results. Arizona is full of hardworking people who want a fair shot and a stable future for their families. They deserve leaders who listen, who tell the truth, and who are willing to do the work.</t>
  </si>
  <si>
    <t>Helen Hunter</t>
  </si>
  <si>
    <t>CAMPAIGN PRIORITIES * AFFORDABILITY – FOOD, HOUSING, HEALTHCARE, GASOLINE, WATER, ELECTRICITY * WATER RESOURCE MANAGEMENT * EDUCATION – TEACHER PAY, PUBLIC SCHOOL FUNDING, VOUCHER PROGRAM MANAGEMENT * VOTER REGISTRATION, GETTING OUT THE VOTE, FAIR ELECTIONS, EILIMINATING VOTER SUPPRESSION EFFORTS * EFFECTIVE AND HUMANE BORDER CONTROL MANAGEMENT PROCEDURES GOALS * IDENTIFY AND IMPLEMENT MEASURES TO CONTROL AFFORDABILITY ISSUES AFFECTING WORKING HOUSEHOLDS * INTRODUCE/SUPPORT LEGISLATION INSURING UTILITY COSTS ARE APPROPRIATELY ALLOCATED TO ENTITIES CREATING DEMAND * DEVELOP A MORE COMPREHENSIVE PLAN AND REGULATORY PROCESS FOR STATEWIDE MANAGEMENT OF WATER RESOURCES, INCORPORATING STATE, FEDERAL, AND INDIGENOUS INTERESTS * REVAMP THE VOUCHER SYSTEM INSURING TEACHERS’ PAY IS BROUGHT UP TO PAR CONSISTENT WITH LEGISLATION PASSED BY PRIOR VOTER INITIATIVES *ADVOCATE AND COLLABORATE FOR THE REESTABISHEMENT OF FREE, FAIR ELECTIONS; MAINTAIN MAIL-IN VOTING * FAIR, LEGAL, AND HUMANE TREATMENT OF DETAINEES – ILLEGAL AND THOSE LEGALLY IN THE PROCESS TO CITIZENSHIP WORK ACROSS THE AISLE, BUILDING COALITIONS FOR THE PASSAGE OF NEEDED LEGISLATION. I AM COMMITTED TO SERVE WITH DIGNITY, RESPECT, AND A SPIRIT OF COOPERATION. I AM EQUALLY DETERMINED TO STAND UP, SPEAK UP, AND FIGHT FOR WHAT IS RIGHT AND JUST … WORKING TOWARDS THE BEST POSSIBLE LIVING CONDITIONS FOR EVERY AZ CONSTITUENT.</t>
  </si>
  <si>
    <t>James Rogers</t>
  </si>
  <si>
    <t>Do you want to go the way of California and Colorado, former red states that are now permanently blue? Or do you want to go the way of Florida, a purple state that is now solidly red? This election will decide which path Arizona takes. I am running for the Arizona House because I have the skills, experience, and backbone to help make Arizona permanently red. My priorities are straightforward: making it affordable for young Arizonans to start families; fixing our election laws; protecting children in our schools from radical gender ideology; standing fearlessly for the unborn; fighting illegal immigration; and protecting our Second Amendment rights. On elections, Arizona deserves what Florida has: fast, accurate, and trustworthy results. As an election integrity lawyer who has litigated these issues and has already drafted bills for the Legislature, I will be the only Representative with the specialized knowledge of election law to craft the reforms we need. Representative Justin Olson and I are running together as a slate in LD10. Arizona’s future is not predetermined. It will be decided by the citizens of districts like LD10, and by the representatives they send to the Capitol. I would be honored to be yours.</t>
  </si>
  <si>
    <t>Justin Olson</t>
  </si>
  <si>
    <t>In this race, I am the candidate with a proven conservative record. My successful legislation cut taxes, balanced the budget, eliminated job killing bureaucratic red tape, defunded Planned Parenthood and Obamacare in Arizona, expanded school choice, and funded public safety. I earned an A+ rating from the NRA, “Champion of the Taxpayer” from the Arizona Republican Party, “Friend of the Family” from the Arizona Family Project, “Legislator of the Year” from the National Federation of Independent Businesses, and “Free Market Champion of the Year” by The Arizona Free Enterprise Club. When I left the Legislature in 2017, we had passed the first structurally balanced budget the state had seen in years and Forbes Magazine ranked Arizona #1 nationally for projected job growth. In 2018, I was elected to the Arizona Corporation Commission. I fought against the Arizona Green New Deal, protected Arizona ratepayers and advanced free markets. As CFO of Turning Point USA, I am in the trenches fighting the good fight to save our country. With your support, I will continue these important efforts of advancing freedom, faith, and family, and standing up for common sense conservative principles like secure borders, the rule-of-law, the second amendment, and the right-to-life.</t>
  </si>
  <si>
    <t>Blair Moses</t>
  </si>
  <si>
    <t>State Senator - District 10</t>
  </si>
  <si>
    <t>My name is Blair Moses. I am a Democrat running for the Arizona State Senate in Legislative District 10. I am running because East Mesa deserves a Senator who will fight for the people in this district and their Constitutional rights. As a mom and former attorney with a prior 30-year career in healthcare, I am eager to work to ensure Arizonans have access to affordable healthcare; fairly priced utilities, food, and housing; and fully- funded, quality public schools. I'm running as a Clean Elections candidate and will not accept any corporate, PAC, or special interest money. My Priorities • Protect Constitutional Rights Safeguard voting rights, free speech, peaceful assembly, and due process for all Arizonans. Protect vulnerable communities. • Expand Access to Healthcare Ensure every resident receives the healthcare they need. • Increase Affordability Address the rising costs of food, housing, electricity, and water. Establish reasonable controls on the energy and water use of large data centers and their impact on Arizonans’ utilities. • Fully Fund Public Schools Support the 80–90% of Arizona students in public schools. Establish oversight, caps, and accountability for the voucher program that has drained more than $1 billion from the state budget.</t>
  </si>
  <si>
    <t>David Christian Farnsworth</t>
  </si>
  <si>
    <t>I have learned a tremendous amount in my time as a senator, as chairman of finance for two years, financial institutions for two years, government for two years, transportation for two years, education for one year and currently serving as chairman of appropriations Transportation and technology, rules and Joint Legislative Budget Committee. I learn more every day about how to serve my constituents and the state of Arizona. Recognized as the Champion of the Taxpayer, I have consistently advocated for crucial matters such as border security, school choice, Second Amendment rights, the sanctity of life, and the importance of strong family values. With roots tracing back three generations in Arizona, I am deeply committed to preserving our state's unique identity. Your support in the upcoming election is paramount. Let us safeguard Arizona from the perils of misguided policies that would mimic those of California. Together, let us work towards the restoration of liberty. Your vote for me, David Christian Farnsworth, will ensure our shared values endure.</t>
  </si>
  <si>
    <t>Nick Fierro</t>
  </si>
  <si>
    <t>I have lived in this area most of my life, been very active in the community, and want to provide a better future for my three young children and all other families in Arizona. As a result, I have plenty of old- fashioned skin in the game. My focus is on working with both sides of the aisle in the legislature to address affordability and sustainability so we can continue to enjoy Arizona for generations to come. As your State Senator in District 10, here are just a few of the ongoing issues that I intend to address if I am elected: 1. We should fund much-needed skilled trades programs. 2. We should create a personal finance class for every high school in Arizona. 3. We should work with our local farmers to bring down food prices. 4. We should realistically address the homeless issue in District 10. 5. We should address affordable housing for the middle-class Arizonan who has lived here for years. 6. We should protect our water supply.</t>
  </si>
  <si>
    <t>Cesar Aleman</t>
  </si>
  <si>
    <t>State Representative - District 11</t>
  </si>
  <si>
    <t>I thank God for living most of my life in Arizona and seeing the growth throughout the years. Arizona has potential and District 11 can lead the way. Unfortunately, the increase in crime rate, the lack of securing our border and the distribution of Fentanyl is hurting our district and our State. Our streets are not safe and there’s a lack of police presence due to the low officer-to-community ratio. School Choice and opportunities to help families through Empowerment Scholarship Accounts, need to be preserved. As your elected official I will represent our district and not a political party agenda. As your elected official I will act in serving the people by working together in a bipartisan manner and compromise for what’s best for our district and our state. I support all life and we must defend and protect it. It is our responsibility as a community to give our children and those to come after them a better and safer future by leading by example and working together for the common good. My simple objective is to serve our community and every resident of District 11, giving them a much needed community voice in the State House.</t>
  </si>
  <si>
    <t>Joseph Charles Dailey</t>
  </si>
  <si>
    <t>South Phoenix deserves leaders who know the community, listen first, and solve real problems. I am running because families in District 11 face rising costs, concerns about crime and emergency response, pressure on schools, and too few opportunities for long-term economic security. I believe we can do better by focusing on practical results instead of partisan division. My priorities are simple: support safe neighborhoods, stronger schools, and a more affordable future for working families. That means backing law enforcement and community-based solutions to reduce crime, improving infrastructure and emergency response, supporting parents and teachers, and creating an environment where small businesses can grow and create jobs. I also believe government must be accountable, fiscally responsible, and focused on serving people rather than political agendas. As a father, engineer, and longtime South Phoenix resident, I bring a problem-solving mindset and a deep commitment to this community. I am not running to make noise. I am running to help build a safer, stronger, and more prosperous district where families can thrive, businesses can succeed, and every neighborhood is treated with the respect and attention it deserves. Together, we can restore trust and put South Phoenix families at the center of every decision.</t>
  </si>
  <si>
    <t>Junelle Cavero</t>
  </si>
  <si>
    <t>For more than 30 years, Junelle Cavero has championed equal opportunity, equity, and economic security. Her work has focused on advancing policies that support minorities, women, children, veterans, individuals with disabilities, and working families. She earned her Master’s in Public Administration with a commitment to serving and uplifting these communities. As a mother of two, Junelle is deeply concerned about the rise in homelessness across our district. She is dedicated to working alongside public safety officials and community members to build trust and ensure safe, thriving neighborhoods. Drawing on her experience as a public administrator, she is well-equipped to develop effective policies and responsible budgets to address these challenges. Junelle serves on the Arizona State House Committees: Commerce, International Trade, Science and Technology and AI and Innovation where she tirelessly advocates for Arizona’s working families. As a State Representative, Junelle will continue to advocate for immediate action on workers’ rights, universal childcare, small business recovery, public safety, affordable housing, a livable minimum wage, and clean, sustainable water policies.</t>
  </si>
  <si>
    <t>Oscar De Los Santos</t>
  </si>
  <si>
    <t>Oscar De Los Santos is delivering results for working families and the middle class in Arizona. Unafraid to challenge the powerful, Oscar is fighting corporate landlords driving up rents, taking on data centers driving up our bills, and cracking down on health insurance corporations that are price gouging us. At the Capitol, Oscar has a reputation for getting things done. He made school breakfast and lunch free for working- class students; delivered a historic initiative to make community college and public university tuition free for thousands of working-class students; created Arizona’s first-ever plan to end veterans homelessness; secured millions in financial relief for Arizonans on the brink of eviction; and expanded legal aid so workers can stand up to predatory employers. Oscar believes that, in the wealthiest nation on Earth, no one should go broke just because they get sick. He was a leader in the successful effort to erase $2 billion in medical debt for one million Arizonans, and he helped secure $122 million in lifesaving care for people with developmental disabilities. He is also a leading voice against Donald Trump’s cruel ICE agenda.</t>
  </si>
  <si>
    <t>Catherine Miranda</t>
  </si>
  <si>
    <t>State Senator - District 11</t>
  </si>
  <si>
    <t>District 11, one of the most diverse communities in Arizona, has been my home my entire life. I believe a legislator must maintain close contact with the community and must be available to the people at any time. From the devotion of time my mother, Ysabel Hernandez, spent at St. Catherine’s of Sienna Parish, to the time spent at American Legion Post 41, where my father Robert, a Korean War Veteran was a member, to my involvement in sports in the South Mountain Community, this community has always been there to support me in all my endeavors, and I look forward to giving back. From a kindergarten student to a school administrator and school board member, to serving in both chambers of the State Legislature, I am the strong product of the rich diversity of District 11. This diversity within our community is what helps shape my legislative priorities</t>
  </si>
  <si>
    <t>Joshua Ayala</t>
  </si>
  <si>
    <t>Josh’s priorities are unity, family, and safety, values shaped by both his personal experiences and his vision for a stronger community. As a mixed-race individual who grew up facing segregation, he understands the importance of bringing people together across differences and creating opportunities for every resident to thrive. He believes that fostering unity starts with encouraging individual responsibility, strengthening community involvement, and building meaningful partnerships with local businesses that invest back into the neighborhoods they serve. Josh is a strong advocate for family values and supports policies that encourage stable, supportive households. He emphasizes natalism as a way to promote long-term community health, believing that strong families are the foundation of a prosperous society. At the same time, he prioritizes public safety, calling for enhanced and more responsive policing to address issues like drug activity and homelessness. His stance is rooted in firsthand experience, having witnessed slower police response times in District 11 compared to wealthier areas. Josh is committed to ensuring that all communities—regardless of income or background—receive equal protection, resources, and attention, so every family can feel safe, supported, and united.</t>
  </si>
  <si>
    <t>Armando Montero</t>
  </si>
  <si>
    <t>State Representative - District 12</t>
  </si>
  <si>
    <t>With six years on the Tempe Union High School District Governing Board, Armando brings pragmatic leadership that blends a fresh perspective with policy expertise and governing experience. His platform includes a focus on public education, affordability, quality affordable healthcare, and water conservation. As a school board president, Armando has seen the impacts of cuts to public education and will champion education reform to improve quality and outcomes in education and fully fund our public schools, including placing guardrails and accountability on Arizona's ESA program. To lower costs, he will lead investments in childcare, workforce development, and affordable housing without cutting back on vital services like public safety or health care. He will work to protect and expand healthcare coverage for low-income and working families, defend reproductive rights, and increase funding for mental health services. Finally, Armando will work to secure our water future by strengthening oversight in groundwater use, supporting investments in water technology and infrastructure, and prioritizing the needs of Arizonans over out-of-state corporations. Armando has been recognized nationally for his leadership on the school board and is running for the Arizona State House to get real, bipartisan results for Arizona families.</t>
  </si>
  <si>
    <t>David Richardson</t>
  </si>
  <si>
    <t>Education changed my life and now my children will never know poverty the way I did. As we navigate this new AI revolution, education has never been more important. I am committed to ensuring every Arizona child has access to high-quality education that prepares them for the future. As a business owner, I know exactly what it takes to create jobs and how government can make it easier (or harder) for employers to pay people more and grow. As an engineer and scientist, I have the practical experience needed to address complex issues around power reliability and water security in our state. We deserve leaders who will rally around our shared values and move to unite us rather than divide us, who think with a long-term mindset, and who don’t just criticize to score political points but rather who innovate to solve them. I don’t want to be a career politician. I want to help my community and then return home to enjoy my family.</t>
  </si>
  <si>
    <t>Stacey Travers</t>
  </si>
  <si>
    <t>Four years ago, I wrote that we need a common-sense approach to governing, to focus more on issues that bring us together, less on what divides us, and to meet the needs of all Arizonans by coming together. I have kept my word. In four sessions, I've fought for families, public education, homeowners, veterans, Arizona's water future and Democracy (our constitutional republic) . I’m proof that you can work in a bi-partisan manner and still hold on to your values. I believe I have represented the will of our community with trust, honesty, integrity and transparency. While I won't promise I'll be as successful in my next term, I will promise that I'll continue to build relationships where I can and continue to think about the legacy we are leaving our children. I still see their world of opportunity getting smaller: their access to quality education, making their own family planning and healthcare decisions, the environment they will inherit, and whether they will have a voice in their democracy. But we're making progress where we can, and stopping bad bills so we don't go backwards. I'm still in this fight for their future, and I'm still in it for yours, too.</t>
  </si>
  <si>
    <t>Anthony Jason Ramirez</t>
  </si>
  <si>
    <t>State Senator - District 12</t>
  </si>
  <si>
    <t>I’m running for the Arizona State Senate because Arizona needs problem-solvers, not more partisan fighting. Families are paying more for groceries, housing, healthcare, and utilities, while politicians spend their time blaming each other. Water security, government accountability, public safety, and preparing young people for good-paying careers cannot wait for the next political argument. I am an attorney, private investigator, and former police officer. I have spent my career examining the facts, standing up to powerful interests, protecting constitutional rights, and solving difficult problems. I did not spend my life learning how to win elections. I spent it learning how to get results. As an Independent, I will not answer to party leadership or allow political pressure to control my decisions. I will work with anyone who brings forward a good idea and oppose anyone who puts party interests ahead of Arizona. I will fight to lower unnecessary costs, protect our long-term water supply, strengthen public safety, improve education and workforce pathways, and hold government accountable. I will also work to give independent and unaffiliated voters fair access and a meaningful voice in our elections. I’m not running a blame campaign. I’m running a results-driven campaign. Good ideas do not belong to political parties. They belong to the people of Arizona.</t>
  </si>
  <si>
    <t>Patricia "Patty" Contreras</t>
  </si>
  <si>
    <t>Patty was first elected to the Arizona House in 2022 and re-elected in 2024. Issues important to her are fully funding public education, helping seniors and veterans, combating climate change, and protecting Arizona’s water supply. Ms. Contreras has two sisters and a niece who are public school educators. She supports public education and will work towards providing adequate funding for public schools including increasing teacher's wages, improving infrastructure, and ensuring schools have adequate and well paid support staff. Patty worked with older adults for much of her career providing resources and information to enhance their lives and protect them from scams, abuse, and exploitation. Because of her experience with seniors, she was appointed to the Governor's Advisory Council on Aging and has been serving on the Legislature's Vulnerable Adults Study Committee. Rep. Contreras is concerned about the environment and the effects of climate change. She will continue to work to improve our state’s resilience to the effects of climate change and look for sustainable solutions to Arizona's water needs. As your Representative, Patty hosts a monthly constituent meeting in the district to discuss topics of concern. She looks forward to continuing to serve you as your State Senator.</t>
  </si>
  <si>
    <t>Jacob Weinberg</t>
  </si>
  <si>
    <t>State Representative - District 13</t>
  </si>
  <si>
    <t>Throughout my career, I have focused on service, problem-solving, and helping people succeed. My experiences in the military, the private sector, and in veteran advocacy have shown me the challenges facing Arizona families, from rising costs to ensuring we have water for decades to come, to access to quality healthcare and ensuring veterans receive the support they have earned. I want to dedicate my time at the legislature to serving my community, protecting Arizonans, and cutting out fraud, waste, and abuse from the state budget so taxpayer dollars are used properly. I am not a politician. I’m a U.S. Army combat veteran and a small business owner who has spent more than two decades leading teams and serving others. I was an auditor for 15 years and am now the Chief Financial Officer of an Arizona-based technology solutions company. I understand the importance of strong leadership, fiscal responsibility, and creating opportunities for Arizona families. I will fight relentlessly for what our community needs.</t>
  </si>
  <si>
    <t>Janet Weninger</t>
  </si>
  <si>
    <t>I am running to represent Legislative District 13 because strong families and safe communities are what make our district special. As a mother, business owner, and longtime advocate for children, I have seen the challenges families face and the importance of leadership focused on real issues. For nearly two decades, I have worked with organizations dedicated to protecting children from abuse, trafficking, and neglect. I have partnered with community leaders and state agencies to support foster children and improve outcomes for children entering the system. My experience has shaped my understanding of where support is needed and how state leaders can better serve families. Running a small business has also given me insight into what it takes to keep our economy strong. I understand the pressures facing local employers and the need for policies supporting growth, stability, and opportunity - and what it takes to lower our cost of living and improve affordability. As a mom, I know the importance of great schools and parental choice in education. At the Capitol, I will protect children, support families, strengthen our community, and keep government focused on the people it serves. Please visit www.janetweninger.com for more information.</t>
  </si>
  <si>
    <t>Kevin Hartke</t>
  </si>
  <si>
    <t>I’m running for the Arizona House to solve problems. I know that may sound cliché but unlike most first-time candidates for the Legislature, I have a record of doing just that. For the last eight years, I’ve been serving as the Mayor of Chandler. Under my leadership, Chandler is considered one of the best run cities in the Valley. We’ve passed fiscally conservative budgets, paid down the cities pension obligations, fully funded and staffed our police, and lowered property tax rates every year. This success isn’t mine alone but the result of a bipartisan council working together to deliver efficient services and a high quality of life. I will bring that same collaborative approach to the Legislature. Arizona’s biggest issues aren’t going to be solved by partisan fighting. We need to lower costs, improve public education, secure our water future, and expand the American Dream. I’ve been an active leader in my community for 40+ years. I’ve always believed our responsibility is to be focused on the Arizona we leave to future generations, so our children and grandchildren inherit a state of possibility.</t>
  </si>
  <si>
    <t>Racquel "Rockee" Armstrong</t>
  </si>
  <si>
    <t>I am running for State Representative in Legislative District 13 to ensure that Chandler, Sun Lakes, and Gilbert remain great places to live and work. The cost of living has gotten out of control; people can’t even think of owning a home anymore, utility companies are getting tax subsidies, while electricity costs are skyrocketing. I will work with Democrats and Republicans to rein in utility companies to stop passing higher costs on to Arizonans, prioritize policies that address the rising cost of living, and crack down on rampant fraud and abuse to fight for better education for Arizona students. I will bring a practical, transparent, and community- focused approach to the legislature so that our district continues to thrive for current residents and future generations. As a former public school teacher, school administrator, and current professional at Arizona State University, I have dedicated my career to strengthening education and expanding opportunity for families. I understand firsthand the challenges our schools face and the need to stop the waste, fraud, and abuse in our educational voucher system.</t>
  </si>
  <si>
    <t>Julie Willoughby</t>
  </si>
  <si>
    <t>State Senator - District 13</t>
  </si>
  <si>
    <t>As a proud ASU graduate and long-time Arizonan, I’ve built my life here with my husband and children, and what happens in our state matters deeply to me. As Majority Whip in the Arizona House, I’ve delivered real results: historic tax relief for working families, including more than $1.4 billion in savings and a stronger Child Tax Credit, strengthening public safety, and making smart investments in education and health care. I’ve led efforts to protect children and families by passing laws to combat fentanyl trafficking, crack down on online exploitation, expand maternal mental health support, and protect children from harmful content online. I’ve also worked to lower costs, support veterans, and improve access to quality health care across Arizona, including in rural communities. My record has earned endorsements from the Arizona Nurses Association, the Arizona Chamber of Commerce, Arizona’s public safety community, and many others. My time as a lawmaker is solely focused on delivering results for Arizona families, and I want to continue that work for you in the Arizona Senate. I would be honored to have your vote.</t>
  </si>
  <si>
    <t>Kristie O'Brien</t>
  </si>
  <si>
    <t>I want a brighter future for our district. Having worked with Democrats and Republicans in the U.S. Senate on bipartisan clean water and clean air legislation, I know what it takes to get a bill passed. Throughout my career, I have partnered with local and federal law enforcement on public safety issues. But becoming a mom is what I am most proud of. Nearly a decade ago, I delivered my twins at 32 weeks. They spent 43 days in the NICU and I saw firsthand how medical costs can threaten a family’s future. The reality is most Arizona families are one medical emergency away from financial ruin and it’s one of the reasons why I am running. I am running to tackle Arizona’s affordability crisis by taking on the big corporations that are taking advantage of us. I will fight against price gouging to lower the price of groceries, healthcare, utilities, and housing while funding our public schools, protecting our vital water resources, and delivering bipartisan leadership that makes life better for Chandler, Gilbert, and Sun Lakes. It would be an honor to serve you and put people over special interests. I humbly ask for your vote this November!</t>
  </si>
  <si>
    <t>Laurin Hendrix</t>
  </si>
  <si>
    <t>State Representative - District 14</t>
  </si>
  <si>
    <t>You elected me to the Legislature to make a positive difference, and I’m working every day to do just that. I’ve worked to pass strong border bills, legislation to clean up our elections and increase transparency in the process, bills to protect school choice and parental rights, improve health care and how insurance companies treat customers, protect girls’ sports, restore our constitutional rights, put Term Limits on Congress, and so much more. I’m running with Mylie Biggs and Tyler Farnsworth because you deserve, and Arizona needs, legislators who will do what is right. You get TWO votes for State House, so please remember to vote for both Hendrix AND Farnsworth. Katie Hobbs brags about vetoing the successful policies that made Arizona #1 for jobs and today we’re paying the price. Getting Arizona back on track means replacing “the Veto Queen” with a Governor who will put partisan games aside and do what is right for Arizona, and it means electing lawmakers who will do the same. Every vote matters, so please elect your team of Biggs, Hendrix and Farnsworth. THANK YOU! We won’t let you down!</t>
  </si>
  <si>
    <t>Mary Rose</t>
  </si>
  <si>
    <t>After retiring, I found myself paying closer attention to the challenges facing Arizona families. I realized I could either watch from the sidelines or put a lifetime of experience to work helping solve problems. I chose to run because I believe government should help build stronger communities and not simply react to today's challenges. My priorities are clear: making housing and everyday life more affordable, protecting taxpayer dollars through transparent and accountable government, strengthening public education by supporting our teachers and ensuring ESA funds are transparent, accountable, and used responsibly, and safeguarding Arizona's long-term water future through responsible planning. I will represent the taxpayers, not lobbyists or corporate donors. I also believe our democracy is strongest when everyone has a voice. I want young voters to know their ideas matter and they can shape the policies that impact their lives because they'll inherit the Arizona we build today. I stand for the right to vote in a democratic system, the freedom to marry the person you love, and every individual's right to make their own healthcare decisions. Together, we can build an Arizona that's affordable, accountable, and full of opportunity for the next generation. Let's move forward together.</t>
  </si>
  <si>
    <t>Tyler Andrew Farnsworth</t>
  </si>
  <si>
    <t>I grew up in Gilbert, graduated from Gilbert High, and built my business right here in the East Valley. My wife Chelsea and I are raising our four boys in the same community that raised me. I didn't grow up dreaming of running for office. I grew up learning that when your community needs help, you step up. I'm running for the Arizona House of Representatives because I believe government should do less, do it well, and get out of the way. Too many families are getting squeezed by rising costs while government keeps growing. As a business owner, I know what accountability looks like, and I'll bring that to the legislature. My priorities are protecting taxpayers, defending school choice and parental rights, fighting for our water supply, and restoring confidence in our elections. Every vote I cast will be measured against one question: does this protect individual liberties? I'm running with Mylie Biggs for Senate and Laurin Hendrix for House. You get two House votes, so please vote Hendrix and Farnsworth. I humbly ask for your support.</t>
  </si>
  <si>
    <t>Mylie Biggs</t>
  </si>
  <si>
    <t>State Senator - District 14</t>
  </si>
  <si>
    <t>I decided to run for the Arizona State Senate because I saw a need for more conservative fighters who will stand up for the values I believe in so strongly. That includes restoring affordability to Arizona by lowering taxes, reducing regulations, and rooting out duplicative or wasteful state programs and agencies. I hope that by easing the burdens on taxpayers, everyone will thrive, but especially those in my generation and future generations, enabling them to afford homes and remain in this beautiful state. I am teaming up with great conservatives Laurin Hendrix and Tyler Farnsworth who are running for the State House. Together, we will work to keep Legislative District 14 one of the best places to live by supporting small businesses and single-family home construction. Government should be small; at every level, federal, state, and local, it has become a burdensome intervenor in our lives. I hope to reduce its influence as much as possible if elected. I love this state and district. This is my home, and I will work hard with Hendrix and Farnsworth to make it the freest state in the nation.</t>
  </si>
  <si>
    <t>Stephanie Walsh</t>
  </si>
  <si>
    <t>I am running for the Arizona State Senate to bring thoughtful, solutions-focused leadership to the Legislature. As an engineer and former small business owner, I understand the importance of strong businesses, jobs that support Arizona families, and an educated workforce. Arizona needs practical problem-solvers who can bridge divides, work collaboratively, and stay focused on what matters to our communities. Today, our state is facing growing demands for energy and water, along with new pressures from emerging technologies like artificial intelligence. These challenges affect every Arizonan, our economy, our infrastructure, and our quality of life. I will work to strengthen Arizona's energy and water security, support responsible innovation, and ensure our policies keep pace with technological change. Arizona should lead with smart, balanced approaches that protect public resources while supporting economic growth and healthy communities. Looking ahead, the next generation deserves strong schools, good jobs, and a stable future here at home. That requires supporting educational excellence, strengthening our workforce, and making home ownership more attainable. The decisions we make today will shape opportunities for Arizonans for decades to come.</t>
  </si>
  <si>
    <t>Michael Way</t>
  </si>
  <si>
    <t>State Representative - District 15</t>
  </si>
  <si>
    <t>I ran for office to bring a real-world perspective to the Legislature and to stand up for Arizona families. As a husband, father, and business owner, I understand the challenges facing our communities and the importance of keeping government accountable. At the Capitol, I have focused on protecting parental rights, expanding school choice, securing our elections, and defending the constitutional freedoms that make Arizona strong. I believe parents, not bureaucrats, should be in charge of their children’s education, and that our government must live within its means, just like Arizona families do. Arizona is one of the best places in the country to live, work, and raise a family. But maintaining that requires strong leadership and a commitment to conservative principles. I will continue to fight for lower taxes, responsible spending, public safety, and policies that promote economic growth and opportunity. I am grateful for the trust voters have placed in me and will continue working every day to represent Legislative District 15 with integrity and purpose.</t>
  </si>
  <si>
    <t>Neal Carter</t>
  </si>
  <si>
    <t>Neal Carter is a constitutional conservative we can trust, with the voting record to prove it. Awarded "Conservative Excellence" from CPAC, Highest Scoring Republican from Republican Liberty Caucus, "Patriot" status from Turning Point… I'm fighting for the conservative principles of limited government, rule of law, and lower taxes. I’m fighting at the state legislature to secure the border and reduce spending. I’m running for reelection to defend the values of the Constitution: freedom of religion, freedom of conscience, freedom of speech, economic freedom, freedom to bear arms, etc. A smaller government means a freer nation. The proper role of government is to defend life, liberty and property, not to guarantee happiness. I’m running for reelection because over the past several years I have understood that our country is in crisis, beset by forces that intend to use the power of government to coerce ideologies on us. I’m known for standing up for what’s right, and I prefer death over dishonor. Things I believe in include securing the border, defending school choice (parents raise children, not the government), defending life from conception to natural death because life has God-given dignity, fiscal responsibility, balanced budgets, and returning money to taxpayers.</t>
  </si>
  <si>
    <t>Jake Hoffman</t>
  </si>
  <si>
    <t>State Senator - District 15</t>
  </si>
  <si>
    <t>As the 2021 National Legislator of the Year, a 100% rated constitutional conservative legislator, a champion of the family and taxpayers, an A+ defender of the Second Amendment, and fierce advocate for the freedom, opportunity, and prosperity that exists in Arizona, you can have confidence that I will always fight for you. At the Capitol I have been hard at work to secure our elections, authoring legislation to ban the private funding of elections, prohibit the mass mailing of ballots to voters who didn't request it, and require proof of citizenship to vote. I've fought to keep registered sex offenders off of our school boards, and to protect children by prohibiting sexually explicit material from being used in our schools. I've stood up against the tyranny of an out of control government by protecting small businesses from rogue government agencies, reining in Arizona governments’ use of mass surveillance technology, cutting taxes for every Arizonan, and passing the nation's most pro-school choice legislation in America. These victories for our state are only possible with your support. Thank you for the support over the years. I'm honored to serve you.</t>
  </si>
  <si>
    <t>Jayme Accalia</t>
  </si>
  <si>
    <t>I’m running because the system isn’t working for the people who are working the hardest. Across Arizona, families are doing everything right — working full-time, raising their kids, and contributing to their communities — yet still struggling just to get by. That’s not how this is supposed to work. I’ve lived that reality. I’ve worked in retail and service jobs, and I know what it means to stretch every dollar and still come up short. My family faces those same challenges today. I believe in personal responsibility, but I also believe the system should work for people who are doing everything right. That means supporting working people, protecting the right to organize, and making sure a full-time job pays enough to live. It means respecting personal freedom, including the right to make your own healthcare decisions, and ensuring everyone is treated with dignity under the law. It also means supporting the Second Amendment while backing common-sense safety measures and access to mental health resources. My focus is on affordability, healthcare, and education — the foundation of a strong middle class. When those systems are working, families can move beyond survival and build a future.</t>
  </si>
  <si>
    <t>Chris Lopez</t>
  </si>
  <si>
    <t>State Representative - District 16</t>
  </si>
  <si>
    <t>Born and raised in Casa Grande, I have dedicated my life to finding commonsense solutions to the challenges facing our community. As a dad, I understand the importance of safe neighborhoods, strong schools, reliable infrastructure, and an affordable cost of living. As a small business owner, I know how much a strong local economy matters to families across District 16. During my first term at the Capitol, I secured new funding for law enforcement, stood up for veterans, supported safer neighborhoods, and worked to lower costs for Arizona families. I sponsored legislation to protect our water, improve our infrastructure, and bring new funding for road improvements, including SR 347. My experience as a small business owner helps me bring a practical, results- driven approach to the Capitol. I raised my family in Arizona because our community offers strong schools, close- knit neighborhoods, and a high quality of life, and I am fighting to protect those values. I am committed to helping families build a stronger, more affordable future in District 16. Learn more at www.LopezForAZ.com. I would be honored to earn your support.</t>
  </si>
  <si>
    <t>Julia Romero Gusse</t>
  </si>
  <si>
    <t>I am running for the Arizona House of Representatives because I believe public service is about people, not politics. As a U.S. Air Force veteran, former educator, City of Maricopa councilmember, and legislative advocate for Arizona veterans, I have spent my career bringing people together to solve real problems. This campaign is personal. Four generations of my family call Legislative District 16 home, including my children and grandchildren. Like so many families, we care deeply about the future of our schools, water supply, transportation, healthcare, and the cost of living. I am running to ensure Arizona families have a strong voice at the Capitol. I will focus on practical solutions that strengthen public education, protect our water, support veterans and seniors, create good-paying jobs, and improve our quality of life. My military service taught me that leadership means putting the mission—and the people you serve—before yourself. That is the commitment I will bring to the Arizona Legislature.</t>
  </si>
  <si>
    <t>Teresa Martinez</t>
  </si>
  <si>
    <t>To the residence of LD 16. I want you to know that my top priority is you. I have worked tirelessly to improve our roads, fight for our water, fight for funding for our local veterans. I’ve been a strong advocate for children, law-enforcement officers, firefighters and our emergency responders. I’m proud to say that I’ve had many successes! Including securing funding for the I 10 corridor and SR 347! I have also created legislation that helps promote safety ! Recently the governor passed my bill the turquoise alert to help find missing indigenous people I will continue to fight for LD 16! It has been an honor to be your state representative! And I thank you in advance for your support because I know together we can make sure that Pinal County has everything. It deserves everything it needs and I’m grateful to all of you.</t>
  </si>
  <si>
    <t>Elaine Aldrete</t>
  </si>
  <si>
    <t>State Senator - District 16</t>
  </si>
  <si>
    <t>I'm Elaine Aldrete. I'm running because we are in an affordability crisis. Everything from groceries and housing to healthcare is out of control. Arizonans are increasingly vulnerable to both economic pressures from rising utility bills and housing costs and health risks from extreme heat, opioid-related illness, and strained healthcare systems. Just like the military, none of these issues chooses a political party. Addressing these challenges will require coordinated action from a bipartisan legislature. I'm ready to work across the aisle with those individuals who have the best ideas to build an Arizona that we can all afford and be proud to call home. My experience in building nonprofit organizations positions me perfectly to fill the responsibilities of this State Senate seat.</t>
  </si>
  <si>
    <t>Thomas "T.J." Shope</t>
  </si>
  <si>
    <t>This election is important for Arizona’s future. As your State Senator, I am working to support Arizona businesses, keep our neighborhoods safe, lower costs, and protect our shared priorities. I have sponsored legislation to give law enforcement the tools and funding needed to keep our communities safe, including stronger penalties for drug cartels and human traffickers. We have worked to create an economic environment that attracts new businesses, helps existing businesses expand, and supports entrepreneurs. We have responsibly invested in our schools while protecting educational options and ensuring parents have a strong voice in their children’s education. From protecting our water and balancing the state budget, to investing in I-10 widening and State Route 347 improvements, I will keep fighting for commonsense reforms at the State Capitol. For the last two sessions, I have championed legislation to increase transparency and accountability to ensure our tax dollars are spent wisely and elected officials are held accountable. I am proud to earn endorsements from police and firefighters, as well as business organizations across Arizona because of the commonsense legislation I’ve sponsored. I humbly ask for your continued support. Visit www.TJShope.com.</t>
  </si>
  <si>
    <t>Hollace "Holly" Lyon</t>
  </si>
  <si>
    <t>State Representative - District 17</t>
  </si>
  <si>
    <t>Holly is running for the Arizona State House to work across the aisle and actually deliver solutions to lower costs and keep Arizonans safe. Once in the Legislature, she will fight to: - Bring down costs of housing, groceries, utilities, and healthcare - Stop public servants from profiteering off their positions - Secure Arizona’s water future and make data centers pay their own way - Strengthen public education and hold ESA vouchers accountable - Support small business development and success - Lower prescription drug prices In short, she wants to put public service over politics and prove government can actually work for the people it serves.</t>
  </si>
  <si>
    <t>John Winchester</t>
  </si>
  <si>
    <t>I’m John Winchester, a native Tucsonan, husband, father of four, and running for Arizona House District 17. As a problem-solver with decades of community service and public policy experience, I will deliver results-driven leadership focused on lower costs for families, strong schools with real choice, safe neighborhoods, and limited government that unleashes opportunity in Southern Arizona. I’m running because conservative principles work when put to work for the people. I humbly ask for your support.</t>
  </si>
  <si>
    <t>Kevin Volk</t>
  </si>
  <si>
    <t>I’m a small business owner and former teacher, born and raised in Southern Arizona. I ran for office out of frustration with the extreme, divisive politics we see out of Phoenix. Since taking office, I have worked hard to do my part to take down the temperature, work across the aisle, and keep the focus on getting things done. I am proud to be one of the most bipartisan, effective members of the state legislature. My priorities have been and continue to be to address costs of living, improve Arizona schools, support public safety, and secure our water future. I will continue call out current leadership when they are playing politics at the expense of solving problems. I think our legislature looks too much like Congress in DC – voting overnight on 100 bills with short notice, multiple recesses instead of getting the job done, and partisan posturing instead of good-faith negotiation. We can do better. But I’ll also continue to work with anyone – regardless of party - to improve our state and make lives better for Arizonans. That’s what this job is about. It would be an honor to continue to serve as your State Representative.</t>
  </si>
  <si>
    <t>Rachel "Jones" Keshel</t>
  </si>
  <si>
    <t>I have been truly honored and humbled to serve my constituents these past few years in the AZ legislature. If re-elected, I will continue to fight for honest and trustworthy elections, Family Court and DCS reform, and for the rights of every Arizonan, including the pre-born. I evaluate every piece of legislation based on three principles: Is it constitutional? Is it good policy? Is it the proper role of government. I believe in less taxes, less government and less red tape.</t>
  </si>
  <si>
    <t>Christopher King</t>
  </si>
  <si>
    <t>State Senator - District 17</t>
  </si>
  <si>
    <t>Hi, I am Chris King and I am a dedicated, educated, and proven conservative servant leader running for senate to keep common sense, accountability, and to continue defending freedom in legislative district 17. An Arizonan by choice with deep roots in the community, I understand the daily challenges facing working families, small businesses, and everyday citizens. Governments were designed to protect the rights of their citizens, and I believe they should serve the people, not control nor overburden them. My priorities are clear, protecting parental choice in education, reducing burdensome regulations, growing our economy so every Arizonan can prosper, working with law enforcement to continue securing our border, and defending the Second Amendment. I bring experience in governance and a no-nonsense approach to fight wasteful spending, bureaucratic overreach, and policies which are antithetical to our Arizona values and way of life. I’m committed to integrity, transparency, and putting Arizona first as the heart of everything I do. I will continue being a strong, unwavering voice for liberty, security, and opportunity in our Grand Canyon State. I invite you to join me in the fight to keep Arizona free for our children, grandchildren, and generations to come.</t>
  </si>
  <si>
    <t>Edgar Soto</t>
  </si>
  <si>
    <t>I’m Edgar Soto, a lifelong Tucsonan, Marine Corps veteran, educator, and community leader. I’m running for State Senate because I believe every Arizonan deserves the opportunity to reach their fullest potential. For over 30 years at Pima Community College, I’ve helped students—from first- generation college students to working parents build better lives through education. I’ve seen what works and what doesn’t, and I’m ready to bring real solutions to the Capitol. My priorities are simple: lower the cost of living, strengthen public education, support our veterans, protect water resources, and ensure safe, thriving communities. Too many families, like my own 93-year-old mother, are being squeezed by rising property taxes, insurance, and everyday costs. I believe in bringing people together to get things done. Not left or right, but forward. That means listening, finding common ground, and delivering results that improve lives. Together, we can build an Arizona where opportunity, fairness, and community come first.</t>
  </si>
  <si>
    <t>Bob Dohse</t>
  </si>
  <si>
    <t>State Representative - District 18</t>
  </si>
  <si>
    <t>Arizona needs leadership that delivers results, not excuses. My priorities are strengthening our economy, enforcing fiscal discipline, protecting taxpayers, and ensuring that government operates efficiently and transparently. I support policies that promote small business growth, job creation, and long-term economic stability. Government should focus on its core responsibilities and perform them well, not expand beyond its proper role. I am committed to public safety and to maintaining strong, secure, and stable communities where families can live and thrive. Arizona also faces serious long-term challenges, including water security and sustainable growth. These issues require practical, forward-looking solutions - not delay, not partisan rhetoric, and not political posturing. I will support policies that protect our resources while ensuring continued economic opportunity. I will work to reduce partisan gridlock by advancing solutions that produce measurable results. Where collaboration is possible, I will pursue it. Where core principles are at stake, I will stand firm. If elected, I will bring discipline, urgency, and accountability to this role - focused on delivering real outcomes that strengthen Arizona’s future.</t>
  </si>
  <si>
    <t>Chris Mathis</t>
  </si>
  <si>
    <t>Chris was appointed to the Arizona House of Representatives in 2021 and elected in 2022 and 2024. He is running for re- election in 2026. In the Legislature, Chris has fought to preserve Arizona's precious water resources, invest in public schools, restore reproductive rights, protect voting rights and pass common sense gun safety laws among other legislative and policy priorities. He is the ranking House member on the Natural Resources, Energy and Water Committee and Ethics Committee and also serves on the Health and Human Services Committee and Rules Committee.</t>
  </si>
  <si>
    <t>Nancy Gutierrez</t>
  </si>
  <si>
    <t>Representative Nancy Gutierrez was elected to the State House in LD18 in 2022 and now serves as Assistant Minority Leader and is Ranking Member on the Education Committee. She also serves on the Appropriations Committee. Nancy grew up in Arizona. She attended NAU and earned a BS in Elementary Education with an emphasis in Math. She's lived all over Arizona including Phoenix, Sierra Vista as a military spouse and teacher and Tucson since 2007. She and her husband have raised their two daughters in Tucson. She has held an Arizona Teaching Credential since 1994 and her Yoga Teaching Certificate in 2009, and most recently taught at Tucson since 2013. She's a member of the Arizona Education Association. Nancy is proud to be a Hunt Kean Leadership Fellow, Cohort 12. She serves as a Governor appointed member of the Interagency Coordinating Council for Infants and Toddlers. Representative Nancy Gutierrez is running again to serve the people of LD18 and the entire state. She will continue to work on legislation for free school meals, clean air and water, affordable housing and healthcare and gun safety legislation.</t>
  </si>
  <si>
    <t>Douglas Everett</t>
  </si>
  <si>
    <t>State Senator - District 18</t>
  </si>
  <si>
    <t>As an engineer, and seeing the big picture, I focus on solving complex problems and ensuring systems, like policy making for Arizona, operate safely and reliably, not engaging in political bickering. Arizona families need high paying Jobs, Opportunities, and Safety. I will strengthen Arizona’s economy, improve infrastructure, support dependable energy including SMRs, encourage water management, and embrace fiscal responsibility leading to overall affordability. I will work with federal and local colleagues for efficient solutions. Your taxpayer dollars will be wisely spent with transparency, with some coming back to LD18. I support quality education while preserving funding choices for families. Attaining Eagle Scout, I believe strongly in service, responsibility, and helping our next generation succeed, thus encouraging long-term investments. I encourage closer DPS cooperation with federal and local security agencies, resulting in stronger law enforcement thereby reducing crime. I would adequately fund ADOT for safer roads and airports. Cyclists’ and motorists’ teeth should not chatter. Funded by Clean Elections, my responsibility is to the LD18 constituents - not large donors. Good ideas deserve support, independent of your party affiliation. Let’s meet on the campaign trail (schedule on my website). Strengthen your voice. Vote for DOUGLAS EVERETT, the 6’7” APPROACHABLE candidate.</t>
  </si>
  <si>
    <t>Priya Sundareshan</t>
  </si>
  <si>
    <t>Priya is running for State Senate in LD18 to make Arizona a leader in renewable energy, restore balance to our water shortage through conservation and efficiency, and improve our democracy by making voting easy and accessible to all. She knows we need more science-based decision-making in politics, especially when it comes to preserving our beautiful state for future generations. She looks forward to passing bills that strengthen labor and worker protections, protect our reproductive freedom, and anti-discrimination legislation to protect our human rights and to celebrate the diversity within our communities.</t>
  </si>
  <si>
    <t>Aiden Nicholette Swallow</t>
  </si>
  <si>
    <t>State Representative - District 19</t>
  </si>
  <si>
    <t>I am running for the Arizona House of Representatives to provide "Real Solutions for Rural Arizona." Our communities deserve a platform that prioritizes the needs of working people over special interests. My primary focus is expanding AHCCCS and fully funding rural clinics. No neighbor should have to choose between food and medical care. Access to local, quality treatment is a necessity that requires aggressive state support, not cuts that threaten our hospitals and emergency response times. I am a staunch defender of public education. We must invest directly in our classrooms and regulate ESA vouchers to ensure public funds support our public schools, which currently rank near the bottom nationally. Arizona is going through a severe water conservation crisis. We must reserve Arizona’s water for Arizonans, blocking corporations from depleting our aquifers for outside profit. Our resources belong to our families and farmers, and I will fight to keep them here. I will protect the fundamental rights of all residents—including reproductive freedom, medical privacy, and the safety of our diverse border communities. I am dedicated to defending the LGBTQIA+ community and ensuring equality for all. I ask for your vote to bring an accountable, transparent government to Legislative District 19.</t>
  </si>
  <si>
    <t>David Gowan</t>
  </si>
  <si>
    <t>I’m proud to serve you and never forget why I’m here and who I work for. I’m not politically correct and I don’t bow down to the establishment or “powers that be.” I work for you, and I’m delivering for rural Arizona alongside Lupe Diaz and Gail Griffin. Our team gives our district a really strong voice that gets results, often overcoming the pro-Maricopa County bias that exists in our State Legislature. I’ve been named Champion of the Taxpayer, Friend of the Family, earned an A+ from the NRA, turned our state’s budget deficit into a surplus, and helped turn Arizona into the #1 job-creating, pro-2ndAmendment and pro-school choice state in the country, all while cutting regulations and taxes! These days we’re trying to keep Katie Hobbs from wrecking our state, and Diaz, Griffin and I are fighting for greater affordability, lower taxes and costs, election integrity, secure borders, high-paying jobs, quality schools and school choice, our police and veterans, and more. We ask for your vote so we can restore Arizona’s economy to how strong it was before Katie Hobbs!</t>
  </si>
  <si>
    <t>Jackie O'Donnell Anderson</t>
  </si>
  <si>
    <t>I am running for office because I am tired of the chaos in our current Arizona State Legislature. Arizonans deserve better, and I want to be the voice for the LD19 voters. My values reflect my capacity for empathy and my vision for humanity. I envision a better Arizona for all, where everyone can achieve the life they dream of for themselves and their families. Justice, truth, and peace for all. As I embark on my campaign, my top priorities are healthcare and public education. I am concerned about access and affordability of healthcare, especially with the upcoming Medicaid/AHCCCS cuts in 2026, which threaten the services of critical access hospitals in District LD-19. Additionally, I am focused on ensuring accountability in the AZ Voucher system, making sure our tax dollars are truly benefiting our children's education.</t>
  </si>
  <si>
    <t>Lupe Diaz</t>
  </si>
  <si>
    <t>I’m proud to fight shoulder to shoulder with David Gowan and Gail Griffin – battling to restore our economy to the national leader it used to be. Before Katie Hobbs we were a top-5 state, now we are often in the bottom-5, while she brags about vetoing the very policies that made Arizona such an economic powerhours. I fight for, and will continue to fight for, a strong economy, lower prices and lower inflation, real border security, election integrity, water, medical freedom, our 2nd Amendment rights, our mining and agricultural communities, religious freedom, and the rights of parents to direct the education of their children. Safe neighborhoods, strong schools, reliable infrastructure, and a plan for our long-term water future are critical to our future success. That is what we’re working on. Thank you for your continued support and prayers, and please vote for the team of Diaz, Gowan and Griffin!</t>
  </si>
  <si>
    <t>Bob Karp</t>
  </si>
  <si>
    <t>State Senator - District 19</t>
  </si>
  <si>
    <t>My mainstream values include defending Arizona's public schools by reforming the ESA voucher program, advocating for a fair and responsible tax system, protecting women's reproductive freedom, safeguarding water rights for small farms and residential well owners, and opposing new mining operations that threaten groundwater supplies and environmentally significant areas such as the Willcox Playa. I support Arizona's long-standing, secure, nonpartisan election system and will continue to defend the integrity of our elections against misinformation and unfounded attacks and protecting the privacy of Arizona voters by preventing the unnecessary sharing of their personal information with the federal government. My reform agenda includes establishing meaningful term limits for members of the Arizona Legislature, advocating for universal healthcare, expanding state childcare tax credits to help working families, ending tax giveaways that disproportionately benefit the wealthiest Arizonans, and opposing the construction of large data centers in Legislative District 19, Gail Griffin is a professional politician that has been in the Arizona State Legislature for over 24 years. We deserve better. It is time for change. I look forward to providing voters in Legislative District 19 a mainstream voice and new leadership.</t>
  </si>
  <si>
    <t>Gail Griffin</t>
  </si>
  <si>
    <t>As always, JOBS and economic stability are top priorities for me. I believe in LIMITED GOVERNMENT, LOWER TAXES, PERSONAL RESPONSIBILITY and the FREE ENTERPRISE SYSTEM. I’m working hard on issues related to EDUCATION EXCELLENCE, ensuring more taxpayer dollars make it to the classroom to help students and teachers improve academic achievement. I believe we have a duty and responsibility to SECURE OUR BORDERS, enforce our laws, and protect our citizens. We deserve elections that are trustworthy, transparent, and promptly counted and reported. And of course I’ll never stop fighting to protect our Water Rights and to ensure our long-term water supply, secure our Property Rights, and champion our Veterans. I am PRO-BUSINESS, PRO- TAXPAYER, PRO-FAMILY and PRO-CONSTITUTION. I’m glad to be part of the Legislative District 19 team with David Gowan and Lupe Diaz because we work hard to ensure our district and southeastern Arizona has a strong voice at the State Capital. I will continue to “WORK for the PEOPLE!”. Thank you for your continued support. I ask for your vote.</t>
  </si>
  <si>
    <t>Betty Villegas</t>
  </si>
  <si>
    <t>State Representative - District 20</t>
  </si>
  <si>
    <t>I am running for re election because Arizona needs proven leadership, real experience, and a representative who understands how policy affects everyday lives. My lifelong career in public service, housing, and community development has prepared me to lead with compassion and a clear understanding of what our communities need. From local housing leadership to serving on the Pima County Board of Supervisors during the pandemic, I have helped communities through both everyday challenges and times of crisis. In the Legislature, I have fought for working families on housing affordability, public education, healthcare, environmental justice, and economic security. I believe every person deserves dignity, respect, and fairness.I am running to continue delivering experienced, community rooted leadership for Legislative District 20.</t>
  </si>
  <si>
    <t>Sally Ann Gonzales</t>
  </si>
  <si>
    <t>I'm Senator Sally Ann Gonzales. It's been my honor to serve my LD20 constituents for the past 20 years. My mission has been to advocate and protect our most vulnerable citizens, our children and elders. Now more than ever, this is crucial as our country and state face uncertain times and, Arizona's Universal Voucher Program continues to bankrupt our state. I will continue to advocate for Arizona to provide a safety net for all our citizens in areas of health, employment, and our children’s education. Therefore, fully funding our public schools and improving the working conditions of our dedicated teachers are a must. I am also committed to expanding vocational opportunities and upgrading our workforce by funding and supporting programs like JTED. Our three universities/community colleges must be recognized, treated, and funded as engines of economic development for Arizona. Clean air and water are essential to the well-being of our citizens; therefore, Arizona must have strong laws to protect and improve our environment., protecting our civil rights are extremely important to me. Finally fighting for and conserving Arizona's water is a must. To further my work on these causes, I humbly ask for your continued support on November 3, 2026.</t>
  </si>
  <si>
    <t>Alma Hernandez</t>
  </si>
  <si>
    <t>State Senator - District 20</t>
  </si>
  <si>
    <t>Since I got elected I have focused on one thing: delivering results for my district. We don't need empty promises we need real solutions and someone who understands the legislative process. I secured millions in funding for critical social services and helped low-income seniors with rental and utility assistance. I invested 1M for Pascua Yaqui Tribe Early Childhood Center and Falls Prevention Research at Banner because as a public health professional I understand the importance of protecting the most vulnerable. I passed legislation that strengthened unions and protected working people across Arizona. This record did not happen by accident. It happened because I stayed focused. Few Democratic lawmakers in Arizona have passed any laws or even had a bill hearing but I know what is possible when experience, values, and persistence align and I will continue to deliver for the community where I was born and raised. I am a proud AFT Union educator who has championed legislation focused on affordability and issues that matter. I have been the proud sponsor of rental assistance, bail reform, feminine hygiene and diaper tax exemptions, among many other issues over the years and know what it takes to be effective and lead.</t>
  </si>
  <si>
    <t>Christopher Kibbey</t>
  </si>
  <si>
    <t>State Representative - District 21</t>
  </si>
  <si>
    <t>People matter. What we do today, matters. With a long view of history in mind, we can easily discern our trajectory forward. The obvious question is – what do we need to now to provide every avenue of success to future generations? Our response to this question will determine how well we accomplish our mission. Our Arizona State Constitution declares (Article 2, Section 1) “A frequent recurrence to fundamental principles is essential to the security of individual rights and the perpetuity of free government.” As well as (Article 2, Section 2) “All political power is inherent in the people, and governments derive their just powers from the consent of the governed, and are established to protect and maintain individual rights.” With this foundation established, put me to work. I will fight for educational freedom, to improve scholastic standards, maintain border integrity, protect our citizens' liberties, and help restore our adherence to values embraced and required by our Constitutional Republic. It is our responsibility to teach future generations how to protect and keep a very rare gift – freedom.</t>
  </si>
  <si>
    <t>Consuelo Hernandez</t>
  </si>
  <si>
    <t>Consuelo has been on a mission to make things better for her community since before she could vote. She is proud to finish her fourth year as your state representative. She proudly represents Pima, Santa Cruz, and Bisbee. She has served 8 years as a governing board member in the Sunnyside School District. The lack of economic mobility and access to quality health care, education, and affordable housing led her to run. She has been recognized as one of the most effective Democrats for passing laws to protect bus drivers, improve access to mental health care, and bring millions to social services in every corner of her district. She is running for re- election to continue fighting for worker protections, affordable housing, healthcare and better jobs. She has been recognized as the women's healthcare champion, legislator of the year by the Arizona Public Health Association, as well as by Community Health Centers and Stand for Children. She is a proud Alumni of Sunnyside School District, earned a bachelors at ASU in Global Health, Masters in Legal Studies from UofA, and is a current Law student at ASU.</t>
  </si>
  <si>
    <t>Miranda Lopez</t>
  </si>
  <si>
    <t>As a young person with student loan debt who lives paycheck to paycheck, I know firsthand that voters in District 21 are facing unprecedented hardships especially in regards to public education, housing affordability, and the exploitation of our natural resources. We need progressive solutions to solve these problems, like returning to a progressive state tax system, reinvesting in public education, incentivizing the development of middle housing and restricting corporate use of water, land and utilities. I'm tired of working to elect Democrats who either refuse to push these progressive policies or actively oppose them and side with Republicans on issues of free speech and voting rights. I myself have direct experience of drafting bill language to cap public university presidential salaries and finding a Republican sponsor to get the bill heard in committee, all without sacrificing my own progressive values in the name of "bipartisanship." By entering the race, I will give voters in District 21 the progressive candidate they deserve, and I will champion the causes of working class families.</t>
  </si>
  <si>
    <t>Esteban Flores</t>
  </si>
  <si>
    <t>State Senator - District 21</t>
  </si>
  <si>
    <t>"Government of the people, by the people, for the people!" I'm Esteban Flores, echoing Lincoln's words defending God-given liberties. Freedom above all else! The first responsibility of government is "to protect and maintain individual rights, to form a more perfect union..., ensure domestic tranquility, to provide for the common defense." Ensuring the safety and protection of its citizens. Homelessness and violence have increased in our streets through fentanyl and the recent four years of open borders, while our current representatives have done nothing to fix it! We must change representation! I'm known for my TUSD school board run. I fought to improve education, protect children from inappropriate content, and defend parental authority. I've served our district from Trauma 1 hospital units, anesthesia, endoscopy, and radiology, saving lives from the worst kinds of traumatic violence. Gunshot victims, stabbings, overdoses, domestic abuse, gastrointestinal bleeding, I've seen it all, serving all people, all walks of life during their most desperate moments of need. I will do the same here, utilizing my service at the Gospel Rescue Mission, medical background, business, and ministry experience for economic sustainability and address the fentanyl crisis.To ensure safe streets and economic prosperity! Let's put Southern Arizona First!</t>
  </si>
  <si>
    <t>Rosanna Gabaldon</t>
  </si>
  <si>
    <t>I am Rosanna Gabaldón, and I am running for re-election to a fourth term in the Arizona Senate for Legislative District 21. I have grown through this work. Experience has taught me that leadership starts with listening, telling the truth, and staying focused on results that matter in people’s daily lives. I am running to protect public education, strengthen water sustainability, support responsible economic growth, and stand up for working families, seniors, and children. Southern Arizona deserves a senator who shows up, works across differences when progress is possible, and stands firm when our values are on the line. I have spent years building trust with local leaders, schools, community groups, and employers because lasting progress takes discipline, relationships, and persistence. I will continue to bring common sense, heart, and a long view to the Capitol. I ask for your support so we can keep building an Arizona that is more affordable, more prepared, and more worthy of the people it serves.</t>
  </si>
  <si>
    <t>Betsy Munoz</t>
  </si>
  <si>
    <t>State Representative - District 22</t>
  </si>
  <si>
    <t>Betsy Munoz is a proud Latina who was born and raised in Arizona within the cities of Tolleson and West Phoenix. She is the proud daughter of immigrants and product of our local public schools. Betsy graduated from Arizona State University with a Bachelor of Science in Public Service and Public Policy (Law and Policy). She has previously worked for nonprofit organizations to increase college and career access for all students, and currently works for an immigration law firm helping people with their immigration filings. Her experiences in education and immigration law fuel her passion to run as she has witnessed the gaps in our system and its effect on our communities. Her aim is to ensure our students, families, and communities are at the forefront of conversations at the state legislature. Driven by her background and experiences, she is fiercely committed to uplifting and ensuring each person has access to opportunity and resources. Betsy Munoz is a champion for increased funding for public schools, protecting immigrant rights, developing pathways for affordable housing, and ensuring the economic development across the valley supports our working-class families. She provides a fresh voice and perspective for our community.</t>
  </si>
  <si>
    <t>Elda Luna-Nájera</t>
  </si>
  <si>
    <t>I am running to continue representing my community because I believe our families deserve more. As a mother of five, I know firsthand that our children need better opportunities and a brighter future. I am committed to showing up, listening, and fighting for every family — not just those with power and influence. I’m running because I believe in the strength of our community and in our ability to build a future where opportunity, dignity, and justice are truly available to all. My priorities include fully funding public education, protecting women’s rights, expanding access to healthcare, defending workers’ rights, and strengthening civic participation. Representation matters. District 22 deserves a leader who understands the daily realities of its people. I am running for State Representative to bring my lived experience, professional expertise, and unwavering commitment to being your voice at the Arizona State Legislature.</t>
  </si>
  <si>
    <t>Eva Diaz</t>
  </si>
  <si>
    <t>State Senator - District 22</t>
  </si>
  <si>
    <t>Senator Dr. Eva Diaz is a proud mother to twins, public school teacher, and community leader. She has spent years fighting for students, teachers and working families. -Over 30 years in the Field of Education as a teacher, administrator and college instructor. -Fights for responsible investment in our public schools. -Fights for access to high quality early childhood education programs. -Volunteers with church children's ministry, Chicanos Por La Causa Community Center, teachers union, and more. -As state senator, secured state funding for the Tolleson Elementary preschool program and Tolleson Senior Center. -Currently serves as the ranking member of the Arizona State Senate Education Committee. -Member of the Ethics, Federalism and Family Law, and Government Committees. Senator Dr. Eva Diaz will continue to fight for quality public education, provide support to public school teachers, and make sure our tax dollars are used transparently and responsibly. A voice for the community, from the community.</t>
  </si>
  <si>
    <t>Emilia Cortez</t>
  </si>
  <si>
    <t>State Representative - District 23</t>
  </si>
  <si>
    <t>I am running for the Arizona House of Representatives to bring a strong, local voice to Legislative District 23. Our community deserves leadership that understands our challenges and works toward real, practical solutions. As an Economic Development Specialist, I have worked directly with communities to improve infrastructure, support small businesses, and create opportunities for growth. I have seen how state decisions impact families, workers, and local economies, and I believe those decisions should be guided by the people who live here. My priorities include strengthening our local economy, investing in infrastructure, supporting education, and ensuring responsible use of taxpayer dollars. I am committed to working across communities to find solutions that benefit everyone, not just a few. I believe in transparency, accountability, and showing up for the people I serve. This campaign is about making sure our district has a seat at the table and a voice that will advocate for our future. Together, we can build stronger communities and create opportunities that allow families in District 23 to thrive.</t>
  </si>
  <si>
    <t>Gary Garcia Snyder</t>
  </si>
  <si>
    <t>Thank you for the Nomination,as a proud Mexican American raised in a conservative military family, which shaped my deep respect for America’s founding values. As a small rural business owner with professional experience in economics , sports management, water and agricultural conservation in AZ My grassroots record serving as a bilingual Precinct Committeeman, State Committeeman, State Delegate, National Delegate, and Member-at-Large for the AZGOP. I’ve long stood with law enforcement, first responders, military families, and defenders of our Second Amendment rights. With your vote, I’ll focus on critical issues Arizona Affordability Crisis, family safety, Elections,veterans housing,Mental Health,water and agriculture, infrastructure, Tech ,Youth Athletics,SNAP,Native Americans,Immigrant and Daca Legal pathways,affordable housing, jobs, economic development , fight against BioSolids and Data Centers. Most importantly education for our children and Zero Taxes on our Educators. I believe in having honest conversations with everyone—regardless of party lines— because we are neighbors first and foremost. Politics should unite us, not divide us. I’ll work to bridge differences, improve lives, and be a strong voice for rural Arizona and our southern communities. I Legislate for my community before a party line influence. TU VOZ ES MI VOZ Y PODER PARA AYUDAR A NUESTRO PUEBLO Y MEJORAR TODO EN ARIZONA. TU VOTO ES IMPORTANTE</t>
  </si>
  <si>
    <t>Mariana Sandoval</t>
  </si>
  <si>
    <t>From January 2017 to December 2020, she served on the Agua Fria Union High School District Governing Board and is an ex officio member of the Arizona Latino School Board Association. In October 2024, she joined the Sleeping Heavenly Peace board. She was elected to the Arizona State House of Representatives for Legislative District 23 in November 2022 and began her term in January 2023. Representative Sandoval sees her work in government as a natural extension of her commitment to public service. Statement: Arizona families continue to face challenges with affordable groceries, housing, healthcare, living wages, voter suppression, education, and drought. Our district requires experienced, dedicated leadership to address these issues. Meaningful change depends on electing a democratic majority that puts people before party. Arizona deserves leaders who represent working-class values and prioritize your needs. If re-elected, Rep. Sandoval will continue to advocate for affordable groceries, housing, childcare, universal healthcare, P-20 education funding, educator pay increases, and environmental protections for all Arizonans. Your vote can help build a better Arizona for everyone. Make your voice heard by voting for Representative Sandoval on November 3, 2026, and in the November general election. Together, we can create an affordable and thriving Arizona for everyone.</t>
  </si>
  <si>
    <t>Michele Pena</t>
  </si>
  <si>
    <t>As a lifelong resident of Yuma and the daughter of a mother who immigrated from Mexico seeking a better life, I understand the values that bind our community: faith, family, hard work, and service. My father, a Vietnam veteran, instilled a deep respect for our country and the importance of giving back. Since being elected in 2022, I’ve dedicated myself to addressing the unique needs of our district. From championing agricultural initiatives that support our local farmers to empowering parents and protecting our children’s futures, my focus has always been on delivering results that matter. I have championed legislation to support our agricultural economy, update our infrastructure, and improve Arizona’s healthcare. I’m a steadfast supporter of parental rights and have worked to increase opportunities for our veterans. As we look toward the future, I will uphold our freedoms, strengthen our economy, and preserve the way of life we cherish in our district. Your trust and support have been the cornerstone of my service, and I would be honored to continue representing you in the Arizona House. As a mother, I reserve the patience and strength to fight these battles through the everlasting example of Love. Learn more at MichelePena.com.</t>
  </si>
  <si>
    <t>Brian Fernandez</t>
  </si>
  <si>
    <t>State Senator - District 23</t>
  </si>
  <si>
    <t>As a sixth-generation Yuman, my roots in Southwestern Arizona run deep. When I first ran for the State Senate to represent District 23, I committed to bringing practical, forward-looking leadership to the legislature to ensure our community thrives. Drawing on my background in technology and healthcare, I am incredibly proud of our historic work to bring a medical school to Yuma. This generational milestone will expand healthcare access, address physician shortages, and allow local students to train and serve at home. Because a thriving state requires strong infrastructure, I spearheaded the push for dedicated funding to expand the I-10 corridor. This essential project will relieve congestion, improve safety, and keep Arizona’s economy moving forward. Furthermore, progress requires a rock-solid commitment to students. I have been an unwavering champion for education at every level—fighting for reliable support for K-12 classrooms and expanding resources for higher education to build tomorrow's skilled workforce. Now, as I seek my third term, our work is not done. I am ready to build on these successes, fight to lower the cost of living, and keep delivering real results for District 23.</t>
  </si>
  <si>
    <t>Michelle Altherr</t>
  </si>
  <si>
    <t>I am a grassroots patriot who is proud to stand with 'we the people'. I served 15 years in the Air Force and was consistently recognized for my leadership qualities and my ability to work with people to get the job done without compromising my integrity. One position I held was as liaison between the Command Staff and enlisted personnel, so I am not a stranger to being a voice for those I serve. My journey into politics began with volunteering with Latinos for Trump in 2019, and I have stayed actively engaged. I have prioritized helping conservative candidates get elected and addressing issues within our election process. I am, first and foremost, a Disciple of Christ, determined to fight for policies that prioritize the well-being of our citizens and upholding the values that make America great. With a strong sense of duty and a commitment to servant leadership, I will be guided by strong Biblical principles and work diligently to help return us back to the Founding Father’s vision of a Constitutional Republic. I am running to represent you, and together, we can rebuild faith in our Republic and build a brighter future for generations to come.</t>
  </si>
  <si>
    <t>Alberto Flores</t>
  </si>
  <si>
    <t>State Representative - District 24</t>
  </si>
  <si>
    <t>I’m running for State House to ensure every family in our district can afford to live, learn, and stay healthy. My first priority is affordability. Too many families are being priced out of housing or forced to spend far more than they should just to get by. I will work to expand housing options, support working families through fair wages and the right to organize, and create an economy where small businesses can grow and succeed. That also means making essentials like childcare more affordable so families can stay in the workforce. Second, I will fight to ensure every student has access to a quality education. Arizona’s voucher program has grown rapidly, but too many students are still being left behind. We must focus on delivering real results; making sure every child has the resources, support, and opportunities they need to succeed. Finally, I will work to make healthcare more affordable and accessible. No one should have to choose between getting care and paying their bills. I’m running to bring accountable, community-focused leadership to the Capitol and to put working families first.</t>
  </si>
  <si>
    <t>Delores McLaughlin</t>
  </si>
  <si>
    <t>I am Delores McLaughlin, running for the Arizona State House as a Clean Elections candidate. I served as a communication instructor at Estrella Mountain Community College, helping students gain practical skills for careers in healthcare, business, and more. With a doctorate from Grand Canyon University, I’ve seen how education and opportunity can transform lives. Our neighborhoods in Glendale and Phoenix deserve a strong voice in the State House: one grounded in common sense and results. I will work to lower taxes so families keep more of what they earn, expand education options to fit every child’s needs, and protect seniors from rising property taxes that threaten their homes. I will also fight wasteful spending and corruption, support law enforcement while ensuring accountability, and promote policies that lower energy costs and strengthen our economy. We must reject backroom deals and put hardworking Arizonans first. I ask for your support to deliver practical, principled leadership that strengthens education, supports families, and puts our communities first. Together, we can build a brighter future for Arizona.</t>
  </si>
  <si>
    <t>Lisbeth Arescurenaga</t>
  </si>
  <si>
    <t>Lisbeth Arescurenaga is running for State Representative in Legislative District 24 to bring real community voice into decision-making. With a master’s degree in mental health and over 15 years of experience working with families and youth, she understands the challenges people are facing every day. Her priorities are clear and urgent: expand access to mental health care, invest in strong public schools, advance environmental justice, and make housing more affordable for working families. Lisbeth believes healthy communities require clean air, safe neighborhoods, quality education, and access to care. She plans to achieve this by working closely with community members, educators, and local organizations to create practical, people-centered solutions. Lisbeth is committed to increasing funding for community-based mental health services, supporting teachers and students, and advancing policies that address the rising cost of living and environmental inequities. As a mother and spouse of a veteran, Lisbeth leads with compassion, accountability, and a deep commitment to service. She is running to ensure every family in LD24 is seen, heard, and has the opportunity to thrive.</t>
  </si>
  <si>
    <t>Analise Ortiz</t>
  </si>
  <si>
    <t>State Senator - District 24</t>
  </si>
  <si>
    <t>As your State Senator, I work for you. I'm here to listen and take action for you and your family. When I first ran for office, I never imagined I’d be defending Arizona from a second Trump administration—one even more cruel, authoritarian, and dangerous than the last. State legislatures are one of the last lines of defense—and one of the first places where people-powered progress can begin. I am running for a third-term because I am committed to continuing the progress we’ve made. With your support, I passed heat protections for outdoor workers, secured historic investments into childcare and affordable housing, and fought to strengthen public schools. I take action daily for Maryvale and Glendale residents in need of help. The working class is hurting while Trump and his Billionaire buddies get richer. Enough is enough. I will not stop fighting to lower costs, increase wages, and protect human rights. I’ve proven that bold, compassionate leadership is possible. I’m ready to keep fighting alongside my endorsements for the State House, Lisbeth Arescurenaga and Alberto Flores. We hope to earn your vote in the November 3 General Election.</t>
  </si>
  <si>
    <t>Frank Steele</t>
  </si>
  <si>
    <t>Arizona families deserve to feel safe in their communities, confident in their future, and respected by their government. Too often, common sense has taken a back seat to politics, and the people who pay the price are working families trying to build a better life. I am running for State Senate to restore a focus on public safety, responsible budgeting, and policies that strengthen—not burden—Arizona families. That means supporting law enforcement, ensuring our laws are enforced fairly, and making smart decisions that protect both our communities and our economy. I believe government should be accountable, transparent, and focused on results—not headlines. We need leadership that listens, works hard, and puts the interests of the people ahead of politics. As an Army veteran, I understand service, responsibility, and the importance of standing up for what matters. I will bring that same commitment to the State Senate and work every day to keep Arizona safe, strong, and moving forward.</t>
  </si>
  <si>
    <t>Michael Carbone</t>
  </si>
  <si>
    <t>State Representative - District 25</t>
  </si>
  <si>
    <t>I’m finishing my second term and was elected the Republican Majority Leader, giving our district real clout and a prominent voice in today’s major issues. As always, I defend taxpayers, work to lower inflation and prices, fight for election integrity, protect school choice, and fight to end illegal immigration. I’ve written bills to secure our elections and provide real transparency and accountability. I’ve voted for efforts to help President Trump secure our borders. I’ve championed agriculture issues for Yuma and the West Valley in Maricopa County, and Arizona’s long-term water future. And I continue to battle the left on issues ranging from taxes to public safety, protecting girls’ sports and locker rooms, and fighting for your medical freedom. I’m grateful for the support I’ve gotten from veterans, cops, doctors and more, and I’ll keep fighting the swamp here in Arizona. Alongside Nick Kupper, our district has one of Arizona’s most conservative teams, but we now face a challenge from our left who disagrees with our values and votes. You get TWO votes for State House and I ask you to reject the left and vote for both Carbone AND Kupper so we can continue the fight to keep Arizona great!</t>
  </si>
  <si>
    <t>Nickolas "Nick" Kupper</t>
  </si>
  <si>
    <t>After a stellar 19-year career, the US Air Force tried to kick me out for refusing a COVID-19 shot I was not legally required to take. That turned me from a conservative citizen who lived to serve others into someone who needed to step up and defend everyone who shared my concerns about our liberties and values. I made dozens of media appearances and worked with members of Congress to find redress for thousands of service members unjustly impacted by illegal mandates. And at the urging of many of you, I stepped up in 2024 and ran for State House here in Arizona. With your support I have fought the good fight alongside State Rep Michael Carbone, on issues ranging from border security to gun rights, eliminating DEI, protecting free speech, water issues, election integrity, defending the unborn and so many others. Now we are being challenged from the left but we will not stop fighting for the West Valley and Yuma! I was willing to risk losing everything during COVID for what I knew was right — and I’ll keep doing the same as your elected official. Please vote Kupper and Carbone, thank you!</t>
  </si>
  <si>
    <t>Tiffany Byrne</t>
  </si>
  <si>
    <t>I am running to serve as State Representative for LD 25 because for years I have worked to ensure success in our local community, and now I want to bring that same commitment to the state level. As an educator and leader, I have spent my career helping people succeed, building strong foundations, and bringing communities together to solve problems. In the legislature, I will fight to ensure that every student, school, family, and educator has the resources they need to succeed. I will also work to make sure Arizonans can afford to live in the communities where they work, strengthening local economies and supporting families across our state. I am committed to protecting the air we breathe and the water we depend on, so they remain clean and available for generations to come. Most importantly, I will lead with common sense and respect. Our communities deserve leaders who bring people together, not drive them apart. I will work to heal divisions, listen to all voices, and focus on practical solutions that improve the quality of life for every Arizonan.</t>
  </si>
  <si>
    <t>Laura Huber</t>
  </si>
  <si>
    <t>State Senator - District 25</t>
  </si>
  <si>
    <t>I’m running for State Senate because we deserve leaders who make decisions based on what actually helps people, not politics or special interests. After nearly two decades counseling individuals and families, I’ve seen how policies affect real lives and where systems fall short. Most Arizonans want the same things: stability, opportunity, and a future we can rely on. I believe in listening first, focusing on what works, and finding practical solutions that improve everyday life. This campaign is about putting people over division and results over rhetoric. I will work to move Arizona forward, strengthen our communities, and ensure that our policies serve all Arizonans, not just a select few.</t>
  </si>
  <si>
    <t>Timothy "Tim" Dunn</t>
  </si>
  <si>
    <t>America has to protect its citizens by ensuring it enforces its border and immigration policies and stands up for law enforcement. I am avid hunter, gun owner, and strong 2nd amendment advocate. I will fight anti-gun advocates’ efforts to limit our freedoms and will always support our constitutional rights. I am PRO LIFE, and will continue to strongly oppose any public funding for abortion. I support choice in education. Parents should choose the right education for their kids. I am dedicated to ensuring every child gets a great education and Universal ESA remains one Arizona’s primary options. The colorado river watershed drought has been devastating to systems ability to deliver what’s allocated. Saving the system with a seven state solution in part with the federal government will be the driver in Arizona water policy. Those areas that do not use surface water will be under scrutiny as we plan for future growth. The beneficial use of water for Agriculture producing more crop per drop with the utilization of conservation technology and augmentation for smart growth are among my top priorities. I have legislation to strengthen voter ID laws, stop ballot harvesting and properly maintain our voter rolls to make it easier to vote and harder to cheat.</t>
  </si>
  <si>
    <t>Cesar Aguilar</t>
  </si>
  <si>
    <t>State Representative - District 26</t>
  </si>
  <si>
    <t>Representative Aguilar remains a dedicated fighter for working-class families, ensuring that those who power Arizona's economy can afford to live and prosper. My first two terms have been dedicated to being a voice for the working class. However, the work is far from finished. As the 2026 elections approach, our families are facing an unprecedented cost-of-living crisis under the Trump regime. -Economic Dignity: I remain committed to empower our workers to organize for livable wages, stable pensions, and the respect they deserve. -Educational Equity: As the former Executive Director of the Arizona Students’ Association, I will continue to fight for fully funded Preschool- Higher Education as stated in AZ Constitution ( Article 11, Section 6) Public Education must be protected. -Quality Healthcare: No family in District 26 should be forced into debt due to a medical emergency. I will continue to advocate for expanded access and lower prescription drug costs. -Stop the Separation of Families: ICE has gotten out of control. Immigration has murdered Americans Citizens and traumatized our children. Today, too many families fear leaving their homes even when they should not have to. People have lost hope in our government due to the injustices in ICE.</t>
  </si>
  <si>
    <t>Frank Roberts</t>
  </si>
  <si>
    <t>Our State Representatives DON'T CARE about us! As a longtime community advocate and small business owner, I've lived in LD26 for over 25 years. I've knocked thousands of doors to collect signatures for candidates and spread awareness over issues facing our community. With a “principles and policy-first” mindset, I'm determined to best serve the people of LD26 and to reject special interests which is why I'm a CLEAN ELECTION candidate and I’m not taking a dime from the fraud of special interests, their PACs, or lobbyists. I signed and support Term Limits for Congress, keeping men out of girls’ sports and locker rooms, and bills that would eliminate taxes on tips and help put more money into your pockets. My priorities include affordable housing, better education, safer neighborhoods, access to healthcare, increasing the average wages for working families, and ensuring all Arizonans regardless of their background to have access to excellent opportunities to succeed and get ahead. I will oppose extremist ideologies on both sides of the aisle while focusing on policies that help actual Arizonans. I’m an ordinary citizen with an extraordinary work ethic, and I am ready to get this job done.... I ask for your vote!</t>
  </si>
  <si>
    <t>Hector Gomez</t>
  </si>
  <si>
    <t>Hey Guys... Are you tired of the same old Democrat - Republican get nothing done gridlock Parties? Well I am too! That's why I'm running for the State House with new ideas and a new voice for real change. Just like the Green Party I do not accept donations from corporations, political action committees (PACs), 527(c) organizations or soft money. I'm running as a Green-Clean- Election candidate, I'm tired of the fraud, the Corporate greed, the rich getting richer while the average Arizonian works two jobs to barely survive. I believe in Grass Root democracy and economic fairness... Single payer universal health care, free higher education, affordable housing, renter protection laws, food security, higher living wages, tax the Super Rich, close Corporate loop holes, support Unions and worker's rights, invest in local renewable energy and electric transportation, abolish ICE, remove corrupt politicians, cancel student and medical debt and provide full equality and legal protection for LGBTQIA and communities. If you agree with a common sense plan, then let's get it done NOW for Arizona... Vote Green-Vote Clean-Vote Hector for AZ</t>
  </si>
  <si>
    <t>Jonathan McKenna</t>
  </si>
  <si>
    <t>Our Representatives are remarkably ineffective. They don’t pass bills or get things done, they just show up to vote NO on things that would help our community because they are loyal to their party leadership and want to play political games. We pay the price for their bad behavior. I’ll actually work with people and get things done. I’ll oppose efforts to raise our taxes or to take more from our paychecks. I’ll support safe streets and schools. I’ll fight to get fentanyl off our streets and away from our kids and family members. I’ll engage with the community, I’ll show up, and I’ll listen. Health care, education, jobs, high prices, public safety and more, are all issues that motivate me and matter to you. I ask for your vote and promise to earn it every day!</t>
  </si>
  <si>
    <t>Quanta Crews</t>
  </si>
  <si>
    <t>Hi, I am Rev. Quantá Marie Crews, and I am running for you. I was raised just outside Detroit in a union household where we learned that dignity is tied to what you can afford. A safe home, good schools. Healthcare when you need it. I have spent my entire adult life here in Phoenix, watching Arizona grow into the state she is today. Arizona is all grown up now, and she needs sound leadership to steer her in the right direction, the direction of the people. My lived experiences shape how I serve as your State Representative. I have seen how hard our families work just to stay afloat. Affordability is not a talking point for me. It is personal. Too many neighbors are being priced out of their own lives. This moment calls us to stand up and do the work. As your neighborhood auntie, I will continue to show up, speak up, and fight for policies that bring stability, security, and opportunity within reach. I have pushed for real investments in housing, education, and our communities, and I am not done. I am running so you can breathe easier and live with dignity. Let's keep moving forward together. Quantá</t>
  </si>
  <si>
    <t>Flavio Bravo</t>
  </si>
  <si>
    <t>State Senator - District 26</t>
  </si>
  <si>
    <t>My name is Flavio Bravo, and I have the great privilege of serving as your State Senator. I was first elected to the Arizona State Legislature in November 2022, and I am committed to working across the aisle in a bipartisan fashion and remain focused on the issues most important to you all, such as making housing more affordable, expanding education and job opportunities, and prioritizing public safety within our neighborhoods. Born and raised in west Phoenix, I strongly believe that our families shouldn’t have to sacrifice personal safety for affordability. This year, I collaborated with the cities of Phoenix and Glendale and led legislation preventing prostitution and sex trafficking along 27th avenue and the I-17 corridor by elevating the penalties on the buyers of prostitution. This legislation required collaboration across law enforcement, victim advocates, and survivors of sex trafficking. While it is one step towards addressing a major issue in our district, I will continue to support legislation that reduces crime and combats drugs on our streets. As I seek re-election, I humbly ask for your support so that I can continue to fight for a more just and livable future for all Arizonans.</t>
  </si>
  <si>
    <t>Jim Bishop</t>
  </si>
  <si>
    <t>This year alone, our State Senator voted against cutting our taxes, against efforts to get rid of taxes on tips, against efforts to protect our schools and neighborhoods, against efforts to protect girls’ sports and keep their locker rooms private, and more. Why? Because they were introduced by Republicans. That’s no reason to vote against good bills that would keep us safe, lower our costs, and boost our paychecks. I’m running for office to put an end to these stupid partisan games. If a bill is good I’ll vote YES, and if a bill is bad I’ll vote NO, regardless of who wrote it. Partisan politics is poisoning our system and damaging Arizona. I’ll be a State Senator who rolls up his sleeves and works with everyone. This race is especially critical for families with kids in our public charter schools or those taking advantage of our amazing school choice programs. Flavio Bravo is committed to ending school choice and shutting down these successful schools so he can force all our kids back into the public district schools, regardless of how badly those schools may be performing. Please, protect our kids and schools. Vote Jim Bishop for State Senate!</t>
  </si>
  <si>
    <t>Deborah Howard</t>
  </si>
  <si>
    <t>State Representative - District 27</t>
  </si>
  <si>
    <t>I am running for the state house in Legislative District 27 because I believe public service is about solving real problems, bringing people together, and delivering results for all voters. After graduating from the University of California, Berkeley, I began my career in Washington, D.C., serving at the U.S. Department of Labor after being appointed by President Ronald Reagan. Throughout my career, including leadership roles with AARP, I have helped organizations communicate effectively, build consensus, and achieve meaningful results for people from all backgrounds. After moving to Arizona, a breast cancer diagnosis deepened my commitment to serving my community and protecting the values I believe make Arizona strong. I have helped lead efforts to lower costs, defend voting rights, strengthen public education, and protect individual liberty. Unlike my opponent, Lisa Fink, I am running to be a representative who listens, works across differences, and focuses on practical solutions that get costs under control, create good-paying jobs and affordable housing, and ensure quality health care options for Arizona families.</t>
  </si>
  <si>
    <t>Lisa Fink</t>
  </si>
  <si>
    <t>After a lifetime of community involvement, I stepped up when asked to run for office, and I’m just finishing my first term. As promised, I’ve spent time improving our economy, trying to bring down high inflation rates, prices on gas and food and housing, and fighting illegal immigration. I’ve worked to protect school choice from efforts to shut down Arizona's amazing charter schools and ESAs – because they are working and doing great things for our kids. I have supported our law enforcement and fought the scourge of fentanyl that is killing hundreds of thousands of Americans each year. And I got to spend time on a variety of other critical issues like health care, infrastructure, long term water planning, agriculture, looking after our veterans, and an abundant energy supply. I work side-by-side with Tony Rivero and Kevin Payne on these issues and we have been effective as a team. Thank you for honoring me with your vote and support, I will continue working hard to represent you and our great state. Thank you!</t>
  </si>
  <si>
    <t>Tony Rivero</t>
  </si>
  <si>
    <t>My first term in the House was spent working with Lisa Fink in the House and Kevin Payne in the State Senate. Together, we’ve built a record of achievement on economic issues, jobs, election integrity, public safety, and fighting illegal immigration. Sadly, a lot of the good things we passed were vetoed by Governor Hobbs, but we had some big wins as well. We eliminated taxes on tips and overtime, protected school choice from Democrats who want to shut down charter schools and parental choice, increased K-12 funding for classrooms and teacher pay, and keep working to cut gas taxes, utility prices, and housing costs. We are protecting girls sports and keeping men out of their sports and their locker rooms. And we’re an effective team when it comes to making sure the West Valley gets its fair share of transportation and infrastructure funding. Keep our experience working for you as we deal with developing issues like data centers, long-term water needs, energy demand, and more. We are committed to getting our economy back on track no matter what and I hope you'll support our common-sense team.</t>
  </si>
  <si>
    <t>Kevin Payne</t>
  </si>
  <si>
    <t>State Senator - District 27</t>
  </si>
  <si>
    <t>Doing the right thing and looking after Arizona still motivates me every day. Our schools are improving thanks to increased funding and accountability. I have worked to direct more dollars to the classrooms and teachers, and protected school choice options for our kids and parents. I’m focused on affordability and passed record tax cuts including eliminating taxes on tips and overtime, to keep more money in your pocket. I’ve tackled high gas, energy and water prices, health care costs, and more. We’ve funded law enforcement so we can live in safe neighborhoods, passed Term Limits for Congress, protected girls’ sports, looked after our veterans, and more. And we did all of this while balancing our state budget! Why do I care so much about working class families? Because that’s who I am, in fact I still operate a successful food truck business when I’m not working at the Capitol. I’m running as a team with TONY RIVERO and LISA FINK because they share my commitment to this positive agenda. Most candidates these days are loud and angry and would rather fight than get things done. Not us! Vote for your common-sense solutions team of Payne, Rivero and Fink. Thank you!</t>
  </si>
  <si>
    <t>Kyle Clayton</t>
  </si>
  <si>
    <t>As President of Arizona's largest elementary school district governing board, Kyle Clayton has seen firsthand that strong schools are the foundation of strong communities. He will work to ensure fair funding between elementary and high schools, increase per-pupil investment, and expand access to full-day kindergarten and Pre-K so every child starts school ready to succeed. Kyle is committed to lowering costs for Arizona families by supporting efforts to reduce prescription drug prices, expand healthcare access for young adults, invest in energy efficiency that lowers utility bills, improve access to affordable childcare, and promote housing policies that increase supply while protecting opportunities for homeownership. Kyle believes responsible government means spending taxpayer dollars wisely. He will support transparent, accountable budgeting and make smart investments that strengthen Arizona's economy and create opportunity for future generations. Kyle Clayton is committed to practical, bipartisan solutions that strengthen public education, support working families, and keep Arizona's economy growing.</t>
  </si>
  <si>
    <t>Barbara Fike</t>
  </si>
  <si>
    <t>State Representative - District 28</t>
  </si>
  <si>
    <t>I am an Arizonan to my soul. My mother was born in Clarkdale six years after Arizona gained statehood. I was born and raised in West Phoenix, where I had to pass an Arizona Constitution test to graduate from 8th grade. I have studied and taught history and government for decades. I have respect and reverence for what the founders of the US and of Arizona hoped to create for the future we find ourselves in now. But I fear we’ve veered away from their vision. We need to prioritize education the way our forefathers built public schools into land grants as our country grew. We need to take pride again in our blend of cultures, especially in Arizona! We need to protect the land and our beautiful national parks for future generations, and ensure that water is used wisely so there will be future generations. We need a legislature that will stop playing politics to enrich themselves and their friends and actually govern instead. We owe Arizona that.</t>
  </si>
  <si>
    <t>Beverly Pingerelli</t>
  </si>
  <si>
    <t>My conservative beliefs remind me problems are best solved by applying the principles of limited government, and our solutions must respect our Constitutionally guaranteed rights. That’s how I campaign and how I vote as your Representative. I’ve won awards for my conservative voting record -- fighting for lower prices, improving accountability in educational spending and standards, promoting school choice and parental rights, defending life, fighting against governmental overreach and mandates, and strengthening the Second Amendment and religious freedoms guaranteed by our Constitution. I continue to fight for secure elections, strong borders, and full restoration of our medical and individual liberties. You get TWO votes for State Representative -- please cast them for BOTH me and David Livingston. We’re running as your Proven Conservative Team with State Senator Frank Carroll because we share conservative beliefs and are no-nonsense lawmakers who do what is right, no matter how powerful the special interests are on the other side. We need to elect Republicans this fall to replace Hobbs, Mayes, Fontes and the rest, but the three of us will keep fighting to put Arizona First, and make Arizona a great place to live, work, and raise a family once again. Thank you!</t>
  </si>
  <si>
    <t>David Livingston</t>
  </si>
  <si>
    <t>I’m proud to be considered one of Arizona’s most reliably conservative legislators, because you deserve someone who fights for you. We passed record tax cuts to leave more money in your pocket, including no taxes on tips or overtime. Governor Hobbs vetoed them over and over until we forced her to sign them! I have a 100% voting record on jobs, lower prices, secure elections, a strong border, and an end to illegal immigration. I champion public safety and safe neighborhoods, fight for lower costs on health care and prescription drugs, and I’ve earned the “Friend of the Family” and the “Hero of the Taxpayer” awards. I vote for medical freedom and am working to secure our water future. Your Team of Carroll, Livingston &amp; Pingerelli are again being challenged by those who disagree with us on these issues, but that’s the beauty of elections. YOU get to decide if you want less government, more jobs, lower prices and safer neighborhoods, or not. We won’t back down from what is right, we will oppose special interests, vote NO on bad bills, and keep doing what is right. Please cast your TWO State House votes for Livingston &amp; Pingerelli. Thank you!</t>
  </si>
  <si>
    <t>Marc Graham</t>
  </si>
  <si>
    <t>Marc Graham is a retired Air Force Master Sergeant with decades of experience in aviation, advanced manufacturing, and union leadership. His background in military service and technical problem-solving shaped a leadership style grounded in discipline, precision, and service to others. After years supporting complex operations and mentoring teams, Marc now brings that same rigor to public engagement and local governance in Arizona’s Legislative District 28. As a campaign architect and community leader, he works to strengthen Sun City, Sun City West, and Peoria through transparent communication, practical solutions, and inclusive outreach. Marc has built strong relationships with residents, neighborhood groups, and labor organizations, emphasizing accountability and collaboration. His focus is on empowering voters, improving access to information, and ensuring every resident has a meaningful voice. Driven by fairness and community pride, Marc champions local institutions, supports working families, and elevates the concerns of seniors and long-time residents.</t>
  </si>
  <si>
    <t>Frank Carroll</t>
  </si>
  <si>
    <t>State Senator - District 28</t>
  </si>
  <si>
    <t>As your State Senator, I work hard on the issues you tell me are most important to you: Election Integrity, Ending Illegal Immigration, Public Safety, Improving Transportation, Jobs, Affordability, Quality Schools and School Choice, Water, and Protecting Our Constitutional Rights. I’m running with David Livingston and Beverly Pingerelli as your Proven Conservative Team because, like me, they are award-winning champions of taxpayers and families, and we are extremely effective as a team. I spent my career in the automotive industry, on the mechanical and technological side, so my heart is with the working men and women of this country who want their government to do its job and to otherwise leave them alone to live in peace. Today I serve as the Majority Whip in the State Senate, and I’m using that position to defend our conservative values and champion our America First priorities. I’m honored to serve you and hope you will support your conservative team of Carroll, Livingston &amp; Pingerelli. Thank you!</t>
  </si>
  <si>
    <t>Michael Braun</t>
  </si>
  <si>
    <t>I met my wife during this time, married now for 44 years. We raised our two children in the Chicagoland area, both now having masters in education fields. As time allowed I became involved in the Democratic Party, where I was elected as prescient committee person. I also held the following positions, vice chair, chair and Sargent of arms. And yes I am the proud papa of two grandchildren." As a lifelong Democrat I support the U.S. Constitution, Arizona Constitution, Democratic Party. Which means equal rights for men, women, LBGQT+, all races, women’s right to choose, veterans, proper immigration, due process, healthcare. We need to take care of our environment, water, solar, nature. We need programs to create well pay jobs. I will do everything I can to improve these items</t>
  </si>
  <si>
    <t>Christine Marie Scianna</t>
  </si>
  <si>
    <t>State Representative - District 29</t>
  </si>
  <si>
    <t>Christine advocates for families affected by autism and other disabilities, and has experience testifying on legislation in both the Arizona House and Senate. Last year, she witnessed the mistreatment of the disabled community when legislative leadership altered a committee at the last minute to defeat a bipartisan bill meant to preserve critical funding. This experience, combined with the passage of the BBB, and the misplaced values of the incumbents in her district, motivated her to run as a Clean Elections candidate. She is committed to bringing transparency, accountability, and affordability to her community, and will fight for education, healthcare, and social justice.</t>
  </si>
  <si>
    <t>James Taylor</t>
  </si>
  <si>
    <t>Two years ago, my phone rang and I was asked if I’d consider running for State House. I agreed and began an amazing journey. Today I’m working on issues ranging from economic policy to school choice, long- term water planning, public safety, and more. Hundreds of bills dealing with every imaginable subject, while our liberal Governor vetoes good bills and pushes for policies that belong in California. We passed the largest tax cut in Arizona history to keep more money in your pocket, directed more funding into classrooms and teacher pay, and more. The battle is intense, it doesn’t seem to stop, but I’m honored to be fighting the good fight for the citizens of Arizona. Working as a team with Steve Montenegro in the House and Janae Shamp in the Senate helps a lot as we take on issues that you all tell us matter to you: Lower prices, low taxes and regulations, strong schools and school choice, job growth, long-term water and energy planning, infrastructure (roads etc), strong support for our law enforcement, and continued partnership with our military bases and veteran population. We will keep working for you and THANK YOU for your votes, prayers and support.</t>
  </si>
  <si>
    <t>Steve Montenegro</t>
  </si>
  <si>
    <t>On behalf of our great team (Janae Shamp in the Senate and James Taylor serving with me in the House), I want you to know we’ve been keeping our campaign promises to you. We passed record tax cuts, balanced budgets, worked to lower gas and utility prices, protected school choice, and fought to keep our kids safe, including legislation to keep men out of girls’ sports and locker rooms. We boosted education funding while insisting more of the money goes to the classroom, not the bureaucracy. I was privileged to be elected Speaker of the House, giving our district a powerful voice on issues that matter. A lot of good bills are vetoed by our radical left-wing Governor Katie Hobbs, but we continue to champion the citizens of Arizona. I wrote the bill and ballot measure designating drug cartels as terrorist organizations, legislation to protect our kids, and a ballot initiative to do away with Affirmative Action and DEI policies. I’ve been awarded Friend of the Family, Hero of the Taxpayer, Legislative Champion, Guardian of Arizona Families, Champion of Term Limits, Guardian of Small Business, and School Choice Champion. Thank you for allowing us to serve you!</t>
  </si>
  <si>
    <t>Eric Stafford</t>
  </si>
  <si>
    <t>State Senator - District 29</t>
  </si>
  <si>
    <t>I am your only Senate candidate who will never take corporate cash, PAC money, or special-interest dollars. Frankly, I think it should be illegal for politicians to be bought and sold. I am stepping outside of party lines to defend our community with everything I’ve got. People are struggling just to get by. There is no room left for simple comforts—like yearly family vacations, hiring a babysitter for date night, buying organic groceries, or turning the AC down a couple of degrees. Meanwhile, our current representatives are: Religiously voting to gut public education, pushing us to LAST place nationally. Faithfully stripping our state’s ability to tax trillion-dollar corporations the money they owe. Piously opening the door to costly AI-Data centers and mass-surveillance Flock cameras. Refusing to update critical water and climate policies since 1980, during a record drought. Our homes are being bought by the highest corporate bidder and turned into forever-rentals. Healthcare is more expensive than ever. Grocery chains are using digital price-fixing to hike up food costs whenever they feel like it. I am asking for your vote because our community deserves better—and the first step toward real change is electing people who will actually put you first.</t>
  </si>
  <si>
    <t>Janae Shamp</t>
  </si>
  <si>
    <t>I’m a wife, bonus mom, cowgirl, and Registered Nurse, serving in just my second term in the State Senate. We are keeping our word and working hard on the issues that matter to you and our great state: Jobs, lower prices, strong borders, secure elections, safe streets, great schools and more, all are part of our fight to make Arizona the best it can be. We have been trying to reverse the damage the Hobbs administration is doing to our economy, but she continues to veto the very policies that made Arizona so successful before she got elected. We are fighting inflation and high prices, protecting private property rights, school choice, doing right by our veterans and first responders, restoring your medical freedom, looking after our water supply, ending DEI and social engineering, and more. I wrote the Senate version of the “Arizona Border Invasion Act” and legislation to protect our kids by targeting pedophiles and child traffickers. I'm proud to serve alongside Steve Montenegro and James Taylor in the State House. We know the battle is long and we will keep working hard for you until the battle is won. Thank you for your continued prayers and support!</t>
  </si>
  <si>
    <t>Brian McMahan</t>
  </si>
  <si>
    <t>State Representative - District 30</t>
  </si>
  <si>
    <t>Chief Brian McMahan (ret.) is running for State House of Representatives in Legislative District 30 to ensure rural Arizona has a strong, independent voice in Phoenix. After 40 years in public service, including leading fire districts in La Paz County, Brian understands the real challenges facing families, small businesses, veterans, seniors, and underserved communities. Brian is committed to cutting through partisan gridlock to focus on practical, common-sense solutions that improve everyday lives. He believes government should be transparent, accountable, and responsive—stepping in when needed, but not overreaching. His leadership is grounded in listening, building coalitions, and taking action when it matters most. Throughout his career, Brian has worked alongside diverse communities, earning trust through service and results. He knows that effective leadership means putting people before politics and finding ways to move forward together. He will prioritize public safety, economic opportunity, and responsible governance that reflects the needs of rural Arizona. Brian is running a Clean Elections campaign, refusing special interest money to remain accountable only to the people he serves. Vote for Brian McMahan.</t>
  </si>
  <si>
    <t>David Rose</t>
  </si>
  <si>
    <t>I’m in the White House next to President Trump thinking “Wow, what an amazing journey, God is truly great!” You see my family life growing up was rough, which I compounded with reckless and bad decisions and early legal trouble. Yet in my darkest moment I had a personal encounter with faith that transformed me, gave him purpose, and set me on a mission to help others. Fast forward and I’m an ordained Pastor, I lead a thriving church with my amazing wife, I’m involved in protecting our conservative values on our local school board, I’m a Turning Point USA Faith Pastor, and I was invited onto the National Faith Advisory Board, which brought me to the White House to meet with our President. My motivation comes from a love of country and service, so when I was asked to run for State House I stepped up. I’ve fought and won on important issues already, so I can’t wait to get to the State Capitol and champion secure borders, election integrity, strong schools and school choice, parental rights, our Constitutional rights, lower taxes, our water, and lower prices for food, gas, housing, utilities, and more. I ask for your vote!</t>
  </si>
  <si>
    <t>Mike Gannuscio</t>
  </si>
  <si>
    <t>When I was asked to run for State House I was told my experience would be a real asset in a Legislature too often dominated by Maricopa County interests. I have strong relationships all over our great state, and I’ve worked with rural interests as well as urban counties to get things done. I’m proud to have the endorsement of State Representative John Gillette and others who trust me to stand strong on conservative principles. Too many candidates talk conservative to get elected, then wilt under pressure at the Legislature. Not me! My agenda is Arizona First and one I believe strongly in: Public Safety &amp; Border Security. School Choice &amp; Education Excellence. Lower Prices &amp; a Strong Economy. Protecting Property &amp; Water Rights, Restoring our Constitutional Rights. Ending DEI and Restoring Sanity to Public Policy. And of course, Safeguarding our Elections, because without honest elections, our whole country will be lost. When elected, I’ll continue these important fights and ensure you don’t just have a voice at the Legislature, you have a real Champion! You get TWO votes for State Representative and I’d be honored if you’d cast one for me – Mike Gannuscio. Thank you!</t>
  </si>
  <si>
    <t>Leo Biasiucci</t>
  </si>
  <si>
    <t>State Senator - District 30</t>
  </si>
  <si>
    <t>Too many politicians run for office making promises they never keep. Over my eight years in office, I’ve done the opposite. I’ve followed through and delivered while protecting our conservative values. I made Arizona a Second Amendment sanctuary state. I fought to impose life sentences for child sex crimes. I removed toxic food dyes and chemicals from our schools. I empowered law enforcement to arrest and prosecute human smugglers. I supported a flat income tax and worked to prevent government overreach by banning the shutdown of businesses during a pandemic. And when our communities needed results, I got them. When Lake Havasu and Bullhead City needed Highway 95 repaved, I made it happen. When Wickenburg needed funding for its fire station, I secured it. When the Mohave County Sheriff’s Department needed to replace 40+ year-old substations, I delivered. When Kingman needed a bypass at Highway 93/I-11 and Beale Street, I got it done. When Lake Havasu needed a second bridge, I made it happen. I’m proudly Pro-Life, Pro-Second Amendment, Pro- Veterans, Pro-Law Enforcement, Pro-Border Security, and Pro-America First. Visit Leobiasiucci.com to help keep Arizona red.</t>
  </si>
  <si>
    <t>Jasmine Blackwater-Nygren</t>
  </si>
  <si>
    <t>Apache Attorney</t>
  </si>
  <si>
    <t>County</t>
  </si>
  <si>
    <t>Samceita Begay</t>
  </si>
  <si>
    <t>Apache Clerk Of The Superior Court</t>
  </si>
  <si>
    <t>I am currently part of the Navajo Housing Authority where I have the privilege of serving my Dine families with their homes. Being fluent in Navajo has helped drive my passion for serving others and our mission for helping families. My journey with the organization began 17 years ago when I first joined as a Resident Intake Officer. Over the years, I have been actively involved in community events which have deepened my understanding and commitment to our community. If elected, my primary goals are to educate the role of the Clerk of the Superior Court as well as introducing new services across the county. I believe that by focusing on education, we can achieve significant progress for years to come. My knowledge around policy will help me guide our constituents with any court proceedings and/or services. Thank you for considering my candidacy. I am excited about the opportunity to serve as your Apache County Clerk of the Superior Court and to work together towards a prosperous future, together. I look forward to the possibility of contributing my skills and passion to our shared success. Thank you for your time and consideration. Ahe’hee</t>
  </si>
  <si>
    <t>Amy Hunley</t>
  </si>
  <si>
    <t>Cochise Clerk Of The Superior Court</t>
  </si>
  <si>
    <t>During my two terms as Clerk, I have focused on strengthening my office through improved efficiency, accountability, and customer service. I have prioritized staff retention and development by increasing salaries, expanding training opportunities, and implementing clear, consistent procedures. These efforts have created a more stable, knowledgeable workforce that delivers reliable and timely service. I have also advanced the office’s use of technology to improve accuracy, streamline operations, and increase access to court services. There is important work still ahead. I remain committed to continuing this progress, strengthening partnerships within the justice system, and serving Cochise County with professionalism, integrity, and proven leadership.</t>
  </si>
  <si>
    <t>Billy Cloud</t>
  </si>
  <si>
    <t>Cochise Recorder</t>
  </si>
  <si>
    <t>Billy A. Cloud possesses the experience, leadership, and technical knowledge necessary to effectively continue the work of the Cochise County Recorder’s Office. His background includes senior management roles in the Cochise County Superior Court, the Arizona House of Representatives, and the Arizona Department of Economic Security, where he has overseen large-scale operations, supervised staff, and ensured compliance with complex legal and regulatory frameworks. Cloud has extensive experience managing records, including leading a multi-year court records archiving project in coordination with the State Library and Archives. His career demonstrates a consistent ability to implement process improvements, maintain accurate documentation, and ensure transparency and accountability—core functions of the Recorder’s Office. He is well-versed in Arizona statutes and understands the legal requirements surrounding public records, voter registration, and document recording. In addition, Cloud has managed multimillion-dollar budgets, developed policy, and worked closely with elected officials, stakeholders, and the public. His leadership style emphasizes organization, accuracy, and responsiveness. With a strong commitment to public trust, operational efficiency, and modernizing systems where appropriate, Cloud is prepared to ensure the Recorder’s Office continues to serve Cochise County with professionalism and integrity.</t>
  </si>
  <si>
    <t>Bradley Crossland</t>
  </si>
  <si>
    <t>Coconino Clerk Of The Superior Court</t>
  </si>
  <si>
    <t>I care deeply about our justice system and the role the Clerk’s Office plays in ensuring it functions effectively. I also want to help educate voters about the importance of local offices and what the Clerk of Superior Court actually does. My current priorities include improving customer service, reducing backlogs, expanding paperless operations, implementing digital evidence systems, and launching a new jury management platform. I also support expanding rural court access through programs like the Justice Bus and using technology to bring services closer to residents.</t>
  </si>
  <si>
    <t>Anita Escobedo</t>
  </si>
  <si>
    <t>Gila Clerk Of The Superior Court</t>
  </si>
  <si>
    <t>With 24 years of dedicated service as Clerk of the Court, my vision is to continue building an office environment that serves our community with integrity, transparency, and excellence. I have spent my career ensuring that the Gila County Clerk of Court office operates efficiently, accurately, and with the highest level of professionalism. Moving forward, I am committed to strengthening public trust by making court services more accessible, embracing technology that improves efficiency, and maintaining clear, open communication with the public. A key priority is expanding and promoting access to justice, ensuring every member of our community can navigate the court system with clarity, fairness, and confidence. I believe the Clerk’s Office should be a place where every individual is treated with respect and every case is handled with care. My experience has prepared me to lead with knowledge, stability, and a deep understanding of the evolving needs of our courts and community. I will continue to support and develop our dedicated team, improve processes, and ensure we meet the highest standards of service. Together, we can build on a strong foundation and move confidently into the future providing reliable, responsive, and trusted service to every person we serve.</t>
  </si>
  <si>
    <t>Yvette Hoffman</t>
  </si>
  <si>
    <t>Why I'm Running: If someone had told me a few years ago that I'd be running for public office, I probably wouldn't have believed them. But sometimes life has a way of leading us where we're meant to be. I'm running as an Independent because the Clerk's Office is a nonpartisan position, and I believe it should serve everyone fairly. The Clerk's Office isn't about politics—it's about people. It's a role focused on records, processes, and public service, maintaining that balance is essential. I hope to build on a strong foundation by honoring tradition while embracing practical technology that improves service and strengthens the connection between our court locations. To me, that's what public service is all about.</t>
  </si>
  <si>
    <t>Wendy Mannigel-Smith</t>
  </si>
  <si>
    <t>Gila Recorder</t>
  </si>
  <si>
    <t>I appreciate the confidence the Gila County Board of Supervisors placed in me when they unanimously appointed me as Gila County Recorder in 2025. I am now running to be elected to the office of Gila County Recorder to continue the work that I have been doing and continue building and educating our team to serve Gila County along with the modernization of the Recorder’s Office. Voting is a treasured fundamental right for American citizens. I will do everything in my authority to ensure secure, transparent, legal and fair election processes while maintaining accurate voter registration records. I have called on our communities to assist in communicating accurate information, to help educate with factual verified data to increase Gila County’s participation and faith in the electoral process. Increased transparency and public engagement in the electoral process enhances confidence in the integrity of the system. Regardless of political party affiliation I am approachable, available, and welcome opportunities to engage in our communities. I believe that increased accessibility allows me to address voter concerns effectively and build trust to dispel misconceptions of the processes. Please cast your vote for Wendy Mannigel-Smith as Gila County Recorder, serving our community is truly my privilege.</t>
  </si>
  <si>
    <t>Heidi Torrio</t>
  </si>
  <si>
    <t>Graham Clerk Of The Superior Court</t>
  </si>
  <si>
    <t>The Clerk of the Superior Court serves as the Court’s official record keeper. The mission of the Graham County Clerk’s Office is to provide fair, impartial and efficient customer service to the public without giving improper and/or legal advice. We are the point of contact into the judicial system for the public to access the court process. While serving as the Clerk for Graham County, I have focused on cross training my staff to give them the skills they need to ensure our office runs smoothly while providing excellent customer service. Our staff is committed to efficiency, accuracy and accountability while maintaining court records. New technology has been implemented to improve our operating systems to provide the public with better access to the courts. As I continue serving Graham County in the role of Clerk, I envision an office dedicated to providing access to our justice system. I will continue to build trust and confidence in the courts through the continued guidance and training of court staff to meet the needs of the public. I appreciate your support and vote in the upcoming elections. Thank you!</t>
  </si>
  <si>
    <t>Madeline Montoya</t>
  </si>
  <si>
    <t>Greenlee Clerk Of The Superior Court</t>
  </si>
  <si>
    <t>Kari Ann Noeltner</t>
  </si>
  <si>
    <t>La Paz Assessor</t>
  </si>
  <si>
    <t>Her volunteer efforts reflect a dedication to creating opportunities for youth, honoring those who have served, and strengthening connections within the community. With deep local ties and a practical, hands- on approach, she remains committed to serving both inside and outside of her role in county government. I am running for La Paz County Assessor to continue providing stable, experienced leadership following my appointment to fill the vacancy created by the early retirement of our previous Assessor. I previously served as Chief Deputy Assessor and stepped into this role to ensure continuity while the community prepares to elect its next Assessor in 2026. This election provides voters the opportunity to choose who will lead the office moving forward. The Assessor’s Office plays a critical role in ensuring fair and accurate property valuations. I am committed to carrying out that responsibility with consistency, transparency, and accountability. My experience in the office has given me a strong understanding of both the technical work and the importance of public trust. I have been directly involved in maintaining operations, supporting staff, and continuing improvements that strengthen service to our community. I will continue to focus on fairness, clear communication, and responsible stewardship of this office.</t>
  </si>
  <si>
    <t>Hollie Lucas</t>
  </si>
  <si>
    <t>La Paz Clerk Of The Superior Court</t>
  </si>
  <si>
    <t>As Clerk of the Superior Court, I am committed to ensuring my office fulfills every responsibility required by Arizona law and the Rules of Court. Our office serves the public by accepting Superior Court filings, maintaining official court records, collecting and distributing court-ordered fines, fees, victim restitution, issuing marriage licenses, and managing jury selections. My priority is providing exceptional public service. I believe every person who enters our office deserves to be treated with dignity, respect, compassion, and professionalism, especially during what is often a difficult time in their lives. Since taking office, I have worked to make the Clerk's Office more efficient, accessible, and customer-focused while maintaining the integrity of our judicial system. I remain actively involved in statewide judicial committees, including the Arizona Commission on Access to Justice, the Judicial Officer Supervisor Training Workgroup, and the Arizona State, Tribal, and Federal Court Forum. These opportunities allow me to collaborate with court professionals across Arizona, stay current on best practices, and bring innovative ideas back to La Paz County. I am proud of what my team and I have accomplished, and I remain committed to serving our community with honesty, transparency, integrity, and dedication.</t>
  </si>
  <si>
    <t>Lonnie Lewis</t>
  </si>
  <si>
    <t>La Paz County School Superintendent</t>
  </si>
  <si>
    <t>Every student in our county deserves opportunity, advocacy, and a voice. As part of the La Paz County Superintendent's Office, I am committed to showing up, listening to every district, and working tirelessly to expand educational opportunities for all youth. Together, we will build stronger schools, stronger districts, and a stronger future for our communities. I envision a united La Paz County where every district is connected, supported, and empowered. By bringing together resources, building strong partnerships, and creating a dependable network of support, the La Paz County Superintendent's Office will help every school create the best possible learning environment for its students.</t>
  </si>
  <si>
    <t>Jeff Dial</t>
  </si>
  <si>
    <t>Maricopa Clerk Of The Superior Court</t>
  </si>
  <si>
    <t>Jeff Dial knows most people never hear about the Clerk's Office until they need it. The office keeps the records for every Superior Court case in Maricopa County, records that guard the integrity of our justice system. It processes child-support payments, delivers victim restitution to families, issues marriage licenses, and helps people through the hardest days of their lives: a divorce, a probate case, a custody matter. When you need it, it should be easy to find, easy to understand, and easy to use. Jeff believes in the power of education. People deserve to know how their courts work. His priorities are clear: educate the public about this office, expand online filing so residents can use its services from anywhere, in any language, and cut red tape so no one needs a lawyer for basic paperwork. The Clerk's Office must stay above politics. Judge candidates for this office by one standard: will they uphold the law and follow the Constitution, not a personal agenda? Integrity matters. Jeff Dial will manage this office by that standard and serve everyone equally. Whatever your politics, Jeff asks for your vote. He will deliver a Clerk's Office that simply works.</t>
  </si>
  <si>
    <t>Sebastian Seb Maximiliano Matta</t>
  </si>
  <si>
    <t>Seb is running for Maricopa County Clerk of the Superior Court with three main priorities. First, he wants to make the Clerk’s website available in more languages than just English. Many counties already provide multilingual websites so residents can access court records and services regardless of which language they speak. In Maricopa County, where 26% of residents speak a language other than English at home, there is no reason the Clerk’s website should remain English-only. Second, Seb wants to modernize the Clerk’s Office by expanding online systems. For example, probate matters involving wills and estates often still require in-person filing. This creates unnecessary costs and delays for families and legal professionals. Seb believes expanding online filing options would save time, reduce expenses, and make the court system more efficient and accessible. Finally, Seb wants to raise public awareness about what the Clerk’s Office does and why it matters. He hopes to visit schools and community meetings to explain the office’s role in the justice system and encourage greater civic understanding. He especially wants to inspire young people to become engaged in public service, law, and government. Seb is running to make the Clerk’s Office more accessible, modern, and understandable.</t>
  </si>
  <si>
    <t>Christina Spurlock</t>
  </si>
  <si>
    <t>Mohave Clerk Of The Superior Court</t>
  </si>
  <si>
    <t>My name is Christina Spurlock. I currently serve as and am running for the Clerk of the Superior Court in Mohave County, where I am responsible for supporting the judicial system and providing essential services to the public. As outlined in the Arizona Constitution and state law, my office maintains court records, manages case filings, coordinates jury services, and processes court-related financial transactions. In addition to these duties, I also serve as the Probate Registrar and Jury Commissioner, and I participate in both local and statewide judicial initiatives. I began my service with the Clerk’s Office in 2007, was appointed by Governor Doug Ducey on August 24, 2021, to serve as the Clerk of the Mohave County Superior Court and was elected to my first full term beginning in January 2023. The responsibilities of this office require a detailed understanding of court operations, statutory processes, and the needs of the public. Having extensive experience and professional qualifications helps ensure the accuracy, integrity, and continuity of the services the Clerk’s Office provides. I possess that experience and am passionate about serving my community. I appreciate your vote in the upcoming election.</t>
  </si>
  <si>
    <t>Michael Sample</t>
  </si>
  <si>
    <t>Navajo Clerk Of The Superior Court</t>
  </si>
  <si>
    <t>James Giacomino</t>
  </si>
  <si>
    <t>Pima Clerk Of The Superior Court</t>
  </si>
  <si>
    <t>I’m honored to serve as your Clerk of the Superior Court in Pima County and am proud to be running to continue that service. As a lifelong Arizonan and public servant, I have spent over 15 years working within the Clerk’s office, starting in an entry-level position and rising through the ranks to lead this vital institution. Since my appointment, I have focused on strengthening transparency, improving access to court services, and ensuring our office operates efficiently for the public, attorneys, and judiciary. The Clerk’s office plays a critical role in maintaining the integrity of our justice system—managing records, supporting court operations, and serving our community with professionalism and accountability. I am committed to modernizing services, expanding digital access, and supporting the dedicated staff who keep our courts running every day. My leadership emphasizes innovation, fiscal responsibility, and responsiveness to the needs of Pima County residents. I respectfully ask for your support so I can continue working to ensure our courts remain accessible, efficient, and worthy of the public’s trust.</t>
  </si>
  <si>
    <t>Rebecca Padilla</t>
  </si>
  <si>
    <t>Pinal Clerk Of The Superior Court</t>
  </si>
  <si>
    <t>Juan Pablo Guzman</t>
  </si>
  <si>
    <t>Santa Cruz Clerk Of The Superior Court</t>
  </si>
  <si>
    <t>Maya Donnelly</t>
  </si>
  <si>
    <t>Santa Cruz County School Superintendent</t>
  </si>
  <si>
    <t>As a candidate for Santa Cruz County School Superintendent, I understand the statutory responsibilities of the office require a qualified leader who prioritizes compliance, transparency, and clear communication. I am committed to upholding these standards while serving as a dependable and collaborative partner to our school communities. My priorities center on being a consistent and knowledgeable support system for educational communities. This means working closely with school leaders to help them achieve their fiscal and instructional goals based on their unique needs. It also means bringing together education stakeholders, community organizations, and business and industry partners to create meaningful, relevant opportunities for learners of all ages. My goals for the office include: Providing quality, reliable services as a fiscal agent for school districts, while maintaining meticulous oversight of budgets, transactions, and reporting; Strengthening support services for schools and teachers that include professional development, grant funding, and county-wide annual events; Expanding post-secondary preparedness and meaningful workforce experience for youth; Supporting student well-being through partnerships that address mental health, prevention, safety, and family engagement. If elected, I aim to foster teamwork, and thoughtful problem-solving. I will build trust through accountability and demonstrate that respect and empathy are at the core of my leadership style.</t>
  </si>
  <si>
    <t>Charlie Van Landingham</t>
  </si>
  <si>
    <t>Yavapai Clerk Of The Superior Court</t>
  </si>
  <si>
    <t>Bobbie Jo Daily</t>
  </si>
  <si>
    <t>Yuma Clerk Of The Superior Court</t>
  </si>
  <si>
    <t>I am proud to be a candidate for Clerk of Superior Court in Yuma County, Arizona, bringing 15 years of dedicated service and proven leadership within the Clerk's Office. I began my career in 2011 as a financial clerk, learning the foundation of the office from the ground up. Through hard work, commitment, and a deep respect for public service, I advanced through the ranks to my current role as the Chief Deputy. Today, I am responsible for the day to day operations of the Clerk's Office, overseeing a staff of 49 and preparing and monitoring the office's budget. I have made it a priority to understand every desk, duty, and responsibility, allowing me to support staff, strengthen teamwork, and lead with integrity. I served on the Yuma County Budget Review Team and contributed to projects that modernize and improve efficiency. I am experienced, loyal, and committed to progress. I am ready to take the next step to lead, support the amazing staff, and continue serving Yuma County with transparency, innovation, and dedication. With a career built from the ground up, it would be a seamless transition for me to assume the role of the Clerk of Superior Court.</t>
  </si>
  <si>
    <t>Marie Moore</t>
  </si>
  <si>
    <t>Yavapai Board Of Supervisors Dist. 2</t>
  </si>
  <si>
    <t>2 (Supervisors)</t>
  </si>
  <si>
    <t>I have lived, worked, and raised my family in Yavapai County. I grew up here, went to school here, and never left. My husband and I have built our life here, and like many of you, we care deeply about our children’s and grandchildren’s future. This isn’t something I originally set out to do, but through my time serving our community, I’ve come to see where I can continue to help. I’ve been grateful for the opportunity to serve on Town Council and now as Mayor, while also helping operate a local business that provides jobs and supports our community. Through that experience, I’ve worked through the kinds of challenges our communities face every day. I understand the importance of infrastructure, responsible growth, and the long-term impact land use decisions have on our communities. I’m not a career politician. I’m someone who believes in showing up, listening, and making thoughtful decisions. Yavapai County is growing, and we need to be intentional about how and where that growth happens while protecting the rural character and way of life that make our communities strong.</t>
  </si>
  <si>
    <t>Andrés Cano</t>
  </si>
  <si>
    <t>Pima Board Of Supervisors Dist. 5</t>
  </si>
  <si>
    <t>5 (Supervisors)</t>
  </si>
  <si>
    <t>I’m Democrat Andrés Cano. I'm running for Pima County Supervisor because I believe county government should improve people’s lives in real and lasting ways. As your Supervisor, I have focused on protecting our neighborhoods, expanding opportunity, and delivering results for working families across District 5. I have worked to advance affordable housing, support early childhood education, protect open space, and strengthen our commitment to public safety and public health. I voted no on Project Blue because I believe we must stand up for our desert, protect our water, and reject development that puts our communities at risk. I have also supported investments in workforce pay, neighborhood infrastructure, and environmental protection. My approach to public service is rooted in the values I learned growing up: work hard, stay grounded, and never forget who you are fighting for. As the product of a single mother and a first-generation college graduate, I know how much leadership and compassion matters when families are trying to get ahead. I’m running to keep building a Pima County that is affordable, safe, and more responsive to the people it serves — from Midtown and Downtown to the West Side, the Southside, and the Pascua Yaqui Nation. Learn more: AndresforSupervisor.com</t>
  </si>
  <si>
    <t>Jeff Rhodes</t>
  </si>
  <si>
    <t>I’m running for Pima County Supervisor because I believe government should work for the people it serves. It should listen, solve problems, operate efficiently, and deliver real results for families and communities. Too often, people feel like they are fighting systems instead of being served by them, and I believe we can do better. Today, I work as a Mortgage Loan Originator right here in District 5. Every day I sit across the table from individuals and families making some of the biggest financial decisions of their lives. I see firsthand the challenges many people are facing, from affordability and housing costs to the pressures working families experience every day. One of my biggest pet peeves is inefficiency. I believe government should focus less on bureaucracy and more on practical solutions. Leadership is not about titles or politics. It’s about listening, finding solutions, and making things work better for the people who depend on them. I’m running because I believe our community deserves leadership that brings real-world experience, common sense, and a commitment to getting things done. I love this community, I believe in its future, and I would be honored to earn your support.</t>
  </si>
  <si>
    <t>Overall</t>
  </si>
  <si>
    <t>Statements scored</t>
  </si>
  <si>
    <t>Flagged (AI score &gt; 0.50)</t>
  </si>
  <si>
    <t>Flagged rate</t>
  </si>
  <si>
    <t>Scored exactly 0.00</t>
  </si>
  <si>
    <t>Scored 0.95 or higher</t>
  </si>
  <si>
    <t>Candidates with no statement</t>
  </si>
  <si>
    <t>By race type</t>
  </si>
  <si>
    <t>Statements</t>
  </si>
  <si>
    <t>Flagged</t>
  </si>
  <si>
    <t>Rate</t>
  </si>
  <si>
    <t>By party</t>
  </si>
  <si>
    <t>Distribution of AI scores</t>
  </si>
  <si>
    <t>Bin</t>
  </si>
  <si>
    <t>0%-5%</t>
  </si>
  <si>
    <t>5%-10%</t>
  </si>
  <si>
    <t>10%-15%</t>
  </si>
  <si>
    <t>15%-20%</t>
  </si>
  <si>
    <t>20%-25%</t>
  </si>
  <si>
    <t>25%-30%</t>
  </si>
  <si>
    <t>30%-35%</t>
  </si>
  <si>
    <t>35%-40%</t>
  </si>
  <si>
    <t>40%-45%</t>
  </si>
  <si>
    <t>45%-50%</t>
  </si>
  <si>
    <t>50%-55%</t>
  </si>
  <si>
    <t>55%-60%</t>
  </si>
  <si>
    <t>60%-65%</t>
  </si>
  <si>
    <t>65%-70%</t>
  </si>
  <si>
    <t>70%-75%</t>
  </si>
  <si>
    <t>75%-80%</t>
  </si>
  <si>
    <t>80%-85%</t>
  </si>
  <si>
    <t>85%-90%</t>
  </si>
  <si>
    <t>90%-95%</t>
  </si>
  <si>
    <t>95%-100%</t>
  </si>
  <si>
    <t>Summary Figures</t>
  </si>
  <si>
    <t xml:space="preserve">Because there are so few Green, Independent and No Labels statements, comparisons involving them are likely not statistically significant. </t>
  </si>
  <si>
    <t>The difference between Democratic and Republican AI use is not statistically significant (p = 0.28)</t>
  </si>
  <si>
    <t>PDF page (printed page + 2)</t>
  </si>
  <si>
    <t>208 candidates appear in the guide and 198 submitted a statement.</t>
  </si>
  <si>
    <t>from 0.00 (no text classified as AI-generated; AI-assisted text may still be present) to 1.00 (entirely AI) - that is column I in the "Candidates" tab. Column J is Pangram's own three-way label.</t>
  </si>
  <si>
    <t xml:space="preserve">mine, not Pangram's. </t>
  </si>
  <si>
    <t xml:space="preserve">and 99.66% recall on AI text. A negative control on the pre-ChatGPT 2022 guide flagged 0 of 149 statements (Pangram 4.1; see the README).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</si>
</sst>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b/>
      <sz val="13"/>
      <name val="Arial"/>
      <family val="2"/>
      <charset val="1"/>
    </font>
    <font>
      <i/>
      <sz val="9"/>
      <color rgb="FF595959"/>
      <name val="Arial"/>
      <family val="2"/>
      <charset val="1"/>
    </font>
    <font>
      <sz val="10"/>
      <name val="Arial"/>
      <family val="2"/>
      <charset val="1"/>
    </font>
    <font>
      <b/>
      <sz val="10"/>
      <name val="Arial"/>
      <family val="2"/>
      <charset val="1"/>
    </font>
    <font>
      <b/>
      <sz val="10"/>
      <color rgb="FFFFFFFF"/>
      <name val="Arial"/>
      <family val="2"/>
      <charset val="1"/>
    </font>
  </fonts>
  <fills count="3">
    <fill>
      <patternFill patternType="none"/>
    </fill>
    <fill>
      <patternFill patternType="gray125"/>
    </fill>
    <fill>
      <patternFill patternType="solid">
        <fgColor rgb="FF1C5CAB"/>
        <bgColor rgb="FF333399"/>
      </patternFill>
    </fill>
  </fills>
  <borders count="2">
    <border>
      <left/>
      <right/>
      <top/>
      <bottom/>
      <diagonal/>
    </border>
    <border>
      <left/>
      <right/>
      <top/>
      <bottom style="thin">
        <color rgb="FFBFBFBF"/>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vertical="center" wrapText="1"/>
    </xf>
    <xf numFmtId="0" fontId="3" fillId="0" borderId="1" xfId="0" applyFont="1" applyBorder="1" applyAlignment="1">
      <alignment vertical="top"/>
    </xf>
    <xf numFmtId="0" fontId="3" fillId="0" borderId="1" xfId="0" applyFont="1" applyBorder="1" applyAlignment="1">
      <alignment horizontal="center" vertical="top"/>
    </xf>
    <xf numFmtId="2" fontId="3" fillId="0" borderId="1" xfId="0" applyNumberFormat="1" applyFont="1" applyBorder="1" applyAlignment="1">
      <alignment horizontal="center" vertical="top"/>
    </xf>
    <xf numFmtId="1" fontId="3" fillId="0" borderId="0" xfId="0" applyNumberFormat="1" applyFont="1"/>
    <xf numFmtId="9" fontId="3" fillId="0" borderId="0" xfId="0" applyNumberFormat="1" applyFont="1"/>
    <xf numFmtId="0" fontId="5" fillId="2" borderId="0" xfId="0" applyFont="1" applyFill="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993366"/>
      <rgbColor rgb="FFFFFFCC"/>
      <rgbColor rgb="FFCCFFFF"/>
      <rgbColor rgb="FF660066"/>
      <rgbColor rgb="FFFF8080"/>
      <rgbColor rgb="FF1C5CAB"/>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Flagged rate by race type</a:t>
            </a:r>
          </a:p>
        </c:rich>
      </c:tx>
      <c:overlay val="0"/>
      <c:spPr>
        <a:noFill/>
        <a:ln w="0">
          <a:noFill/>
        </a:ln>
      </c:spPr>
    </c:title>
    <c:autoTitleDeleted val="0"/>
    <c:plotArea>
      <c:layout/>
      <c:barChart>
        <c:barDir val="col"/>
        <c:grouping val="clustered"/>
        <c:varyColors val="0"/>
        <c:ser>
          <c:idx val="0"/>
          <c:order val="0"/>
          <c:tx>
            <c:strRef>
              <c:f>'Summary &amp; charts'!$D$14</c:f>
              <c:strCache>
                <c:ptCount val="1"/>
                <c:pt idx="0">
                  <c:v>Rate</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 &amp; charts'!$A$15:$A$17</c:f>
              <c:strCache>
                <c:ptCount val="3"/>
                <c:pt idx="0">
                  <c:v>Statewide</c:v>
                </c:pt>
                <c:pt idx="1">
                  <c:v>Legislative</c:v>
                </c:pt>
                <c:pt idx="2">
                  <c:v>County</c:v>
                </c:pt>
              </c:strCache>
            </c:strRef>
          </c:cat>
          <c:val>
            <c:numRef>
              <c:f>'Summary &amp; charts'!$D$15:$D$17</c:f>
              <c:numCache>
                <c:formatCode>0%</c:formatCode>
                <c:ptCount val="3"/>
                <c:pt idx="0">
                  <c:v>0.30434782608695654</c:v>
                </c:pt>
                <c:pt idx="1">
                  <c:v>0.31612903225806449</c:v>
                </c:pt>
                <c:pt idx="2">
                  <c:v>0.7</c:v>
                </c:pt>
              </c:numCache>
            </c:numRef>
          </c:val>
          <c:extLst>
            <c:ext xmlns:c16="http://schemas.microsoft.com/office/drawing/2014/chart" uri="{C3380CC4-5D6E-409C-BE32-E72D297353CC}">
              <c16:uniqueId val="{00000000-BDBA-4D4F-A6F7-8378C46B4D81}"/>
            </c:ext>
          </c:extLst>
        </c:ser>
        <c:dLbls>
          <c:showLegendKey val="0"/>
          <c:showVal val="0"/>
          <c:showCatName val="0"/>
          <c:showSerName val="0"/>
          <c:showPercent val="0"/>
          <c:showBubbleSize val="0"/>
        </c:dLbls>
        <c:gapWidth val="150"/>
        <c:axId val="61035530"/>
        <c:axId val="4044534"/>
      </c:barChart>
      <c:catAx>
        <c:axId val="6103553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4044534"/>
        <c:crosses val="autoZero"/>
        <c:auto val="1"/>
        <c:lblAlgn val="ctr"/>
        <c:lblOffset val="100"/>
        <c:noMultiLvlLbl val="0"/>
      </c:catAx>
      <c:valAx>
        <c:axId val="404453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Flagged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6103553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Flagged rate by party</a:t>
            </a:r>
          </a:p>
        </c:rich>
      </c:tx>
      <c:overlay val="0"/>
      <c:spPr>
        <a:noFill/>
        <a:ln w="0">
          <a:noFill/>
        </a:ln>
      </c:spPr>
    </c:title>
    <c:autoTitleDeleted val="0"/>
    <c:plotArea>
      <c:layout/>
      <c:barChart>
        <c:barDir val="col"/>
        <c:grouping val="clustered"/>
        <c:varyColors val="0"/>
        <c:ser>
          <c:idx val="0"/>
          <c:order val="0"/>
          <c:tx>
            <c:strRef>
              <c:f>'Summary &amp; charts'!$D$21</c:f>
              <c:strCache>
                <c:ptCount val="1"/>
                <c:pt idx="0">
                  <c:v>Rate</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 &amp; charts'!$A$22:$A$26</c:f>
              <c:strCache>
                <c:ptCount val="5"/>
                <c:pt idx="0">
                  <c:v>Democratic</c:v>
                </c:pt>
                <c:pt idx="1">
                  <c:v>Republican</c:v>
                </c:pt>
                <c:pt idx="2">
                  <c:v>Green</c:v>
                </c:pt>
                <c:pt idx="3">
                  <c:v>Independent</c:v>
                </c:pt>
                <c:pt idx="4">
                  <c:v>No Labels</c:v>
                </c:pt>
              </c:strCache>
            </c:strRef>
          </c:cat>
          <c:val>
            <c:numRef>
              <c:f>'Summary &amp; charts'!$D$22:$D$26</c:f>
              <c:numCache>
                <c:formatCode>0%</c:formatCode>
                <c:ptCount val="5"/>
                <c:pt idx="0">
                  <c:v>0.39130434782608697</c:v>
                </c:pt>
                <c:pt idx="1">
                  <c:v>0.30769230769230771</c:v>
                </c:pt>
                <c:pt idx="2">
                  <c:v>0.33333333333333331</c:v>
                </c:pt>
                <c:pt idx="3">
                  <c:v>0.25</c:v>
                </c:pt>
                <c:pt idx="4">
                  <c:v>0.6</c:v>
                </c:pt>
              </c:numCache>
            </c:numRef>
          </c:val>
          <c:extLst>
            <c:ext xmlns:c16="http://schemas.microsoft.com/office/drawing/2014/chart" uri="{C3380CC4-5D6E-409C-BE32-E72D297353CC}">
              <c16:uniqueId val="{00000000-772B-7C4D-837D-EABB47ADCCB7}"/>
            </c:ext>
          </c:extLst>
        </c:ser>
        <c:dLbls>
          <c:showLegendKey val="0"/>
          <c:showVal val="0"/>
          <c:showCatName val="0"/>
          <c:showSerName val="0"/>
          <c:showPercent val="0"/>
          <c:showBubbleSize val="0"/>
        </c:dLbls>
        <c:gapWidth val="150"/>
        <c:axId val="5543960"/>
        <c:axId val="26097477"/>
      </c:barChart>
      <c:catAx>
        <c:axId val="554396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26097477"/>
        <c:crosses val="autoZero"/>
        <c:auto val="1"/>
        <c:lblAlgn val="ctr"/>
        <c:lblOffset val="100"/>
        <c:noMultiLvlLbl val="0"/>
      </c:catAx>
      <c:valAx>
        <c:axId val="2609747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Flagged rate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5543960"/>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300" b="0" u="none" strike="noStrike">
                <a:uFillTx/>
                <a:latin typeface="Arial"/>
              </a:defRPr>
            </a:pPr>
            <a:r>
              <a:rPr lang="en-US" sz="1800" b="1" u="none" strike="noStrike">
                <a:solidFill>
                  <a:srgbClr val="000000"/>
                </a:solidFill>
                <a:uFillTx/>
                <a:latin typeface="Calibri"/>
              </a:rPr>
              <a:t>Distribution of AI scores (all 198 statements)</a:t>
            </a:r>
          </a:p>
        </c:rich>
      </c:tx>
      <c:overlay val="0"/>
      <c:spPr>
        <a:noFill/>
        <a:ln w="0">
          <a:noFill/>
        </a:ln>
      </c:spPr>
    </c:title>
    <c:autoTitleDeleted val="0"/>
    <c:plotArea>
      <c:layout/>
      <c:barChart>
        <c:barDir val="col"/>
        <c:grouping val="clustered"/>
        <c:varyColors val="0"/>
        <c:ser>
          <c:idx val="0"/>
          <c:order val="0"/>
          <c:tx>
            <c:strRef>
              <c:f>'Summary &amp; charts'!$B$31</c:f>
              <c:strCache>
                <c:ptCount val="1"/>
                <c:pt idx="0">
                  <c:v>Statements</c:v>
                </c:pt>
              </c:strCache>
            </c:strRef>
          </c:tx>
          <c:spPr>
            <a:solidFill>
              <a:srgbClr val="4F81BD"/>
            </a:solidFill>
            <a:ln w="12600">
              <a:noFill/>
            </a:ln>
          </c:spPr>
          <c:invertIfNegative val="0"/>
          <c:dLbls>
            <c:spPr>
              <a:noFill/>
              <a:ln>
                <a:noFill/>
              </a:ln>
              <a:effectLst/>
            </c:spPr>
            <c:txPr>
              <a:bodyPr wrap="square"/>
              <a:lstStyle/>
              <a:p>
                <a:pPr>
                  <a:defRPr sz="1000" b="0" u="none" strike="noStrike">
                    <a:solidFill>
                      <a:srgbClr val="000000"/>
                    </a:solidFill>
                    <a:uFillTx/>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'Summary &amp; charts'!$A$32:$A$51</c:f>
              <c:strCache>
                <c:ptCount val="20"/>
                <c:pt idx="0">
                  <c:v>0%-5%</c:v>
                </c:pt>
                <c:pt idx="1">
                  <c:v>5%-10%</c:v>
                </c:pt>
                <c:pt idx="2">
                  <c:v>10%-15%</c:v>
                </c:pt>
                <c:pt idx="3">
                  <c:v>15%-20%</c:v>
                </c:pt>
                <c:pt idx="4">
                  <c:v>20%-25%</c:v>
                </c:pt>
                <c:pt idx="5">
                  <c:v>25%-30%</c:v>
                </c:pt>
                <c:pt idx="6">
                  <c:v>30%-35%</c:v>
                </c:pt>
                <c:pt idx="7">
                  <c:v>35%-40%</c:v>
                </c:pt>
                <c:pt idx="8">
                  <c:v>40%-45%</c:v>
                </c:pt>
                <c:pt idx="9">
                  <c:v>45%-50%</c:v>
                </c:pt>
                <c:pt idx="10">
                  <c:v>50%-55%</c:v>
                </c:pt>
                <c:pt idx="11">
                  <c:v>55%-60%</c:v>
                </c:pt>
                <c:pt idx="12">
                  <c:v>60%-65%</c:v>
                </c:pt>
                <c:pt idx="13">
                  <c:v>65%-70%</c:v>
                </c:pt>
                <c:pt idx="14">
                  <c:v>70%-75%</c:v>
                </c:pt>
                <c:pt idx="15">
                  <c:v>75%-80%</c:v>
                </c:pt>
                <c:pt idx="16">
                  <c:v>80%-85%</c:v>
                </c:pt>
                <c:pt idx="17">
                  <c:v>85%-90%</c:v>
                </c:pt>
                <c:pt idx="18">
                  <c:v>90%-95%</c:v>
                </c:pt>
                <c:pt idx="19">
                  <c:v>95%-100%</c:v>
                </c:pt>
              </c:strCache>
            </c:strRef>
          </c:cat>
          <c:val>
            <c:numRef>
              <c:f>'Summary &amp; charts'!$B$32:$B$51</c:f>
              <c:numCache>
                <c:formatCode>General</c:formatCode>
                <c:ptCount val="20"/>
                <c:pt idx="0">
                  <c:v>121</c:v>
                </c:pt>
                <c:pt idx="1">
                  <c:v>0</c:v>
                </c:pt>
                <c:pt idx="2">
                  <c:v>0</c:v>
                </c:pt>
                <c:pt idx="3">
                  <c:v>0</c:v>
                </c:pt>
                <c:pt idx="4">
                  <c:v>1</c:v>
                </c:pt>
                <c:pt idx="5">
                  <c:v>1</c:v>
                </c:pt>
                <c:pt idx="6">
                  <c:v>1</c:v>
                </c:pt>
                <c:pt idx="7">
                  <c:v>3</c:v>
                </c:pt>
                <c:pt idx="8">
                  <c:v>0</c:v>
                </c:pt>
                <c:pt idx="9">
                  <c:v>1</c:v>
                </c:pt>
                <c:pt idx="10">
                  <c:v>1</c:v>
                </c:pt>
                <c:pt idx="11">
                  <c:v>2</c:v>
                </c:pt>
                <c:pt idx="12">
                  <c:v>0</c:v>
                </c:pt>
                <c:pt idx="13">
                  <c:v>3</c:v>
                </c:pt>
                <c:pt idx="14">
                  <c:v>0</c:v>
                </c:pt>
                <c:pt idx="15">
                  <c:v>0</c:v>
                </c:pt>
                <c:pt idx="16">
                  <c:v>1</c:v>
                </c:pt>
                <c:pt idx="17">
                  <c:v>0</c:v>
                </c:pt>
                <c:pt idx="18">
                  <c:v>0</c:v>
                </c:pt>
                <c:pt idx="19">
                  <c:v>63</c:v>
                </c:pt>
              </c:numCache>
            </c:numRef>
          </c:val>
          <c:extLst>
            <c:ext xmlns:c16="http://schemas.microsoft.com/office/drawing/2014/chart" uri="{C3380CC4-5D6E-409C-BE32-E72D297353CC}">
              <c16:uniqueId val="{00000000-954A-E54E-881E-F80CE01EDB18}"/>
            </c:ext>
          </c:extLst>
        </c:ser>
        <c:dLbls>
          <c:showLegendKey val="0"/>
          <c:showVal val="0"/>
          <c:showCatName val="0"/>
          <c:showSerName val="0"/>
          <c:showPercent val="0"/>
          <c:showBubbleSize val="0"/>
        </c:dLbls>
        <c:gapWidth val="150"/>
        <c:axId val="40898666"/>
        <c:axId val="54220017"/>
      </c:barChart>
      <c:catAx>
        <c:axId val="4089866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54220017"/>
        <c:crosses val="autoZero"/>
        <c:auto val="1"/>
        <c:lblAlgn val="ctr"/>
        <c:lblOffset val="100"/>
        <c:noMultiLvlLbl val="0"/>
      </c:catAx>
      <c:valAx>
        <c:axId val="5422001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Statements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endParaRPr lang="en-US"/>
          </a:p>
        </c:txPr>
        <c:crossAx val="40898666"/>
        <c:crosses val="autoZero"/>
        <c:crossBetween val="between"/>
      </c:valAx>
      <c:spPr>
        <a:solidFill>
          <a:srgbClr val="FFFFFF"/>
        </a:solid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1</xdr:row>
      <xdr:rowOff>176040</xdr:rowOff>
    </xdr:from>
    <xdr:to>
      <xdr:col>12</xdr:col>
      <xdr:colOff>398520</xdr:colOff>
      <xdr:row>16</xdr:row>
      <xdr:rowOff>18000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37080</xdr:colOff>
      <xdr:row>17</xdr:row>
      <xdr:rowOff>150120</xdr:rowOff>
    </xdr:from>
    <xdr:to>
      <xdr:col>12</xdr:col>
      <xdr:colOff>385920</xdr:colOff>
      <xdr:row>31</xdr:row>
      <xdr:rowOff>182520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32</xdr:row>
      <xdr:rowOff>176040</xdr:rowOff>
    </xdr:from>
    <xdr:to>
      <xdr:col>12</xdr:col>
      <xdr:colOff>398520</xdr:colOff>
      <xdr:row>47</xdr:row>
      <xdr:rowOff>17640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showGridLines="0" zoomScaleNormal="100" workbookViewId="0">
      <selection activeCell="A16" sqref="A16"/>
    </sheetView>
  </sheetViews>
  <sheetFormatPr baseColWidth="10" defaultColWidth="8.6640625" defaultRowHeight="15" customHeight="1" x14ac:dyDescent="0.2"/>
  <cols>
    <col min="1" max="1" width="103" customWidth="1"/>
  </cols>
  <sheetData>
    <row r="1" spans="1:1" ht="16.5" customHeight="1" x14ac:dyDescent="0.2">
      <c r="A1" s="1" t="s">
        <v>0</v>
      </c>
    </row>
    <row r="2" spans="1:1" x14ac:dyDescent="0.2">
      <c r="A2" s="2" t="s">
        <v>1</v>
      </c>
    </row>
    <row r="3" spans="1:1" x14ac:dyDescent="0.2">
      <c r="A3" s="3"/>
    </row>
    <row r="4" spans="1:1" x14ac:dyDescent="0.2">
      <c r="A4" s="4" t="s">
        <v>2</v>
      </c>
    </row>
    <row r="5" spans="1:1" x14ac:dyDescent="0.2">
      <c r="A5" s="3" t="s">
        <v>3</v>
      </c>
    </row>
    <row r="6" spans="1:1" x14ac:dyDescent="0.2">
      <c r="A6" s="3" t="s">
        <v>4</v>
      </c>
    </row>
    <row r="7" spans="1:1" x14ac:dyDescent="0.2">
      <c r="A7" s="3" t="s">
        <v>575</v>
      </c>
    </row>
    <row r="8" spans="1:1" x14ac:dyDescent="0.2">
      <c r="A8" s="3"/>
    </row>
    <row r="9" spans="1:1" x14ac:dyDescent="0.2">
      <c r="A9" s="4" t="s">
        <v>5</v>
      </c>
    </row>
    <row r="10" spans="1:1" x14ac:dyDescent="0.2">
      <c r="A10" s="3" t="s">
        <v>6</v>
      </c>
    </row>
    <row r="11" spans="1:1" x14ac:dyDescent="0.2">
      <c r="A11" s="3" t="s">
        <v>576</v>
      </c>
    </row>
    <row r="12" spans="1:1" x14ac:dyDescent="0.2">
      <c r="A12" s="3" t="s">
        <v>7</v>
      </c>
    </row>
    <row r="13" spans="1:1" x14ac:dyDescent="0.2">
      <c r="A13" s="3" t="s">
        <v>577</v>
      </c>
    </row>
    <row r="14" spans="1:1" x14ac:dyDescent="0.2">
      <c r="A14" s="3"/>
    </row>
    <row r="15" spans="1:1" x14ac:dyDescent="0.2">
      <c r="A15" s="4" t="s">
        <v>8</v>
      </c>
    </row>
    <row r="16" spans="1:1" x14ac:dyDescent="0.2">
      <c r="A16" s="3" t="s">
        <v>9</v>
      </c>
    </row>
    <row r="17" spans="1:1" x14ac:dyDescent="0.2">
      <c r="A17" s="3" t="s">
        <v>578</v>
      </c>
    </row>
    <row r="18" spans="1:1" x14ac:dyDescent="0.2">
      <c r="A18" s="3"/>
    </row>
    <row r="19" spans="1:1" x14ac:dyDescent="0.2">
      <c r="A19" s="4" t="s">
        <v>10</v>
      </c>
    </row>
    <row r="20" spans="1:1" x14ac:dyDescent="0.2">
      <c r="A20" s="3" t="s">
        <v>11</v>
      </c>
    </row>
    <row r="21" spans="1:1" x14ac:dyDescent="0.2">
      <c r="A21" s="3" t="s">
        <v>573</v>
      </c>
    </row>
    <row r="22" spans="1:1" s="3" customFormat="1" ht="12.75" customHeight="1" x14ac:dyDescent="0.15">
      <c r="A22" s="3" t="s">
        <v>572</v>
      </c>
    </row>
    <row r="23" spans="1:1" x14ac:dyDescent="0.2"/>
  </sheetData>
  <pageMargins left="0.75" right="0.75" top="1" bottom="1"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09"/>
  <sheetViews>
    <sheetView zoomScaleNormal="100" workbookViewId="0">
      <pane xSplit="1" ySplit="1" topLeftCell="B2" activePane="bottomRight" state="frozen"/>
      <selection pane="topRight" activeCell="C1" sqref="C1"/>
      <selection pane="bottomLeft" activeCell="A2" sqref="A2"/>
      <selection pane="bottomRight" activeCell="L142" sqref="L142"/>
    </sheetView>
  </sheetViews>
  <sheetFormatPr baseColWidth="10" defaultColWidth="8.6640625" defaultRowHeight="15" customHeight="1" x14ac:dyDescent="0.2"/>
  <cols>
    <col min="1" max="1" width="26" customWidth="1"/>
    <col min="2" max="2" width="12" customWidth="1"/>
    <col min="3" max="3" width="34" customWidth="1"/>
    <col min="4" max="4" width="16.5" customWidth="1"/>
    <col min="5" max="5" width="11" customWidth="1"/>
    <col min="6" max="6" width="10.33203125" customWidth="1"/>
    <col min="7" max="7" width="21.33203125" customWidth="1"/>
    <col min="8" max="8" width="7" customWidth="1"/>
    <col min="9" max="9" width="22" customWidth="1"/>
    <col min="10" max="11" width="13" customWidth="1"/>
    <col min="12" max="12" width="120" customWidth="1"/>
  </cols>
  <sheetData>
    <row r="1" spans="1:12" ht="25.5" customHeight="1" x14ac:dyDescent="0.2">
      <c r="A1" s="5" t="s">
        <v>12</v>
      </c>
      <c r="B1" s="5" t="s">
        <v>13</v>
      </c>
      <c r="C1" s="5" t="s">
        <v>14</v>
      </c>
      <c r="D1" s="5" t="s">
        <v>15</v>
      </c>
      <c r="E1" s="5" t="s">
        <v>16</v>
      </c>
      <c r="F1" s="5" t="s">
        <v>17</v>
      </c>
      <c r="G1" s="5" t="s">
        <v>574</v>
      </c>
      <c r="H1" s="5" t="s">
        <v>18</v>
      </c>
      <c r="I1" s="5" t="s">
        <v>19</v>
      </c>
      <c r="J1" s="5" t="s">
        <v>20</v>
      </c>
      <c r="K1" s="5" t="s">
        <v>21</v>
      </c>
      <c r="L1" s="5" t="s">
        <v>22</v>
      </c>
    </row>
    <row r="2" spans="1:12" x14ac:dyDescent="0.2">
      <c r="A2" s="6" t="s">
        <v>23</v>
      </c>
      <c r="B2" s="6" t="s">
        <v>24</v>
      </c>
      <c r="C2" s="6" t="s">
        <v>25</v>
      </c>
      <c r="D2" s="7"/>
      <c r="E2" s="6" t="s">
        <v>26</v>
      </c>
      <c r="F2" s="6"/>
      <c r="G2" s="7">
        <v>26</v>
      </c>
      <c r="H2" s="7">
        <v>194</v>
      </c>
      <c r="I2" s="8">
        <v>0</v>
      </c>
      <c r="J2" s="6" t="s">
        <v>27</v>
      </c>
      <c r="K2" s="6" t="str">
        <f t="shared" ref="K2:K65" si="0">IF(I2="","no statement",IF(I2&gt;0.5,"Yes","No"))</f>
        <v>No</v>
      </c>
      <c r="L2" s="6" t="s">
        <v>28</v>
      </c>
    </row>
    <row r="3" spans="1:12" x14ac:dyDescent="0.2">
      <c r="A3" s="6" t="s">
        <v>29</v>
      </c>
      <c r="B3" s="6" t="s">
        <v>30</v>
      </c>
      <c r="C3" s="6" t="s">
        <v>25</v>
      </c>
      <c r="D3" s="7"/>
      <c r="E3" s="6" t="s">
        <v>26</v>
      </c>
      <c r="F3" s="6"/>
      <c r="G3" s="7">
        <v>26</v>
      </c>
      <c r="H3" s="7">
        <v>197</v>
      </c>
      <c r="I3" s="8">
        <v>0</v>
      </c>
      <c r="J3" s="6" t="s">
        <v>27</v>
      </c>
      <c r="K3" s="6" t="str">
        <f t="shared" si="0"/>
        <v>No</v>
      </c>
      <c r="L3" s="6" t="s">
        <v>31</v>
      </c>
    </row>
    <row r="4" spans="1:12" x14ac:dyDescent="0.2">
      <c r="A4" s="6" t="s">
        <v>32</v>
      </c>
      <c r="B4" s="6" t="s">
        <v>24</v>
      </c>
      <c r="C4" s="6" t="s">
        <v>33</v>
      </c>
      <c r="D4" s="7"/>
      <c r="E4" s="6" t="s">
        <v>26</v>
      </c>
      <c r="F4" s="6"/>
      <c r="G4" s="7">
        <v>31</v>
      </c>
      <c r="H4" s="7">
        <v>179</v>
      </c>
      <c r="I4" s="8">
        <v>1</v>
      </c>
      <c r="J4" s="6" t="s">
        <v>34</v>
      </c>
      <c r="K4" s="6" t="str">
        <f t="shared" si="0"/>
        <v>Yes</v>
      </c>
      <c r="L4" s="6" t="s">
        <v>35</v>
      </c>
    </row>
    <row r="5" spans="1:12" x14ac:dyDescent="0.2">
      <c r="A5" s="6" t="s">
        <v>36</v>
      </c>
      <c r="B5" s="6" t="s">
        <v>24</v>
      </c>
      <c r="C5" s="6" t="s">
        <v>33</v>
      </c>
      <c r="D5" s="7"/>
      <c r="E5" s="6" t="s">
        <v>26</v>
      </c>
      <c r="F5" s="6"/>
      <c r="G5" s="7">
        <v>30</v>
      </c>
      <c r="H5" s="7">
        <v>146</v>
      </c>
      <c r="I5" s="8">
        <v>1</v>
      </c>
      <c r="J5" s="6" t="s">
        <v>34</v>
      </c>
      <c r="K5" s="6" t="str">
        <f t="shared" si="0"/>
        <v>Yes</v>
      </c>
      <c r="L5" s="6" t="s">
        <v>37</v>
      </c>
    </row>
    <row r="6" spans="1:12" x14ac:dyDescent="0.2">
      <c r="A6" s="6" t="s">
        <v>38</v>
      </c>
      <c r="B6" s="6" t="s">
        <v>30</v>
      </c>
      <c r="C6" s="6" t="s">
        <v>33</v>
      </c>
      <c r="D6" s="7"/>
      <c r="E6" s="6" t="s">
        <v>26</v>
      </c>
      <c r="F6" s="6"/>
      <c r="G6" s="7">
        <v>31</v>
      </c>
      <c r="H6" s="7">
        <v>199</v>
      </c>
      <c r="I6" s="8">
        <v>0</v>
      </c>
      <c r="J6" s="6" t="s">
        <v>27</v>
      </c>
      <c r="K6" s="6" t="str">
        <f t="shared" si="0"/>
        <v>No</v>
      </c>
      <c r="L6" s="6" t="s">
        <v>39</v>
      </c>
    </row>
    <row r="7" spans="1:12" x14ac:dyDescent="0.2">
      <c r="A7" s="6" t="s">
        <v>40</v>
      </c>
      <c r="B7" s="6" t="s">
        <v>41</v>
      </c>
      <c r="C7" s="6" t="s">
        <v>33</v>
      </c>
      <c r="D7" s="7"/>
      <c r="E7" s="6" t="s">
        <v>26</v>
      </c>
      <c r="F7" s="6"/>
      <c r="G7" s="7">
        <v>30</v>
      </c>
      <c r="H7" s="7"/>
      <c r="I7" s="8"/>
      <c r="J7" s="6" t="s">
        <v>42</v>
      </c>
      <c r="K7" s="6" t="str">
        <f t="shared" si="0"/>
        <v>no statement</v>
      </c>
      <c r="L7" s="6" t="s">
        <v>43</v>
      </c>
    </row>
    <row r="8" spans="1:12" x14ac:dyDescent="0.2">
      <c r="A8" s="6" t="s">
        <v>44</v>
      </c>
      <c r="B8" s="6" t="s">
        <v>30</v>
      </c>
      <c r="C8" s="6" t="s">
        <v>33</v>
      </c>
      <c r="D8" s="7"/>
      <c r="E8" s="6" t="s">
        <v>26</v>
      </c>
      <c r="F8" s="6"/>
      <c r="G8" s="7">
        <v>30</v>
      </c>
      <c r="H8" s="7">
        <v>162</v>
      </c>
      <c r="I8" s="8">
        <v>1</v>
      </c>
      <c r="J8" s="6" t="s">
        <v>34</v>
      </c>
      <c r="K8" s="6" t="str">
        <f t="shared" si="0"/>
        <v>Yes</v>
      </c>
      <c r="L8" s="6" t="s">
        <v>45</v>
      </c>
    </row>
    <row r="9" spans="1:12" x14ac:dyDescent="0.2">
      <c r="A9" s="6" t="s">
        <v>46</v>
      </c>
      <c r="B9" s="6" t="s">
        <v>30</v>
      </c>
      <c r="C9" s="6" t="s">
        <v>47</v>
      </c>
      <c r="D9" s="7"/>
      <c r="E9" s="6" t="s">
        <v>26</v>
      </c>
      <c r="F9" s="6"/>
      <c r="G9" s="7">
        <v>20</v>
      </c>
      <c r="H9" s="7">
        <v>95</v>
      </c>
      <c r="I9" s="8">
        <v>0</v>
      </c>
      <c r="J9" s="6" t="s">
        <v>27</v>
      </c>
      <c r="K9" s="6" t="str">
        <f t="shared" si="0"/>
        <v>No</v>
      </c>
      <c r="L9" s="6" t="s">
        <v>48</v>
      </c>
    </row>
    <row r="10" spans="1:12" x14ac:dyDescent="0.2">
      <c r="A10" s="6" t="s">
        <v>49</v>
      </c>
      <c r="B10" s="6" t="s">
        <v>24</v>
      </c>
      <c r="C10" s="6" t="s">
        <v>47</v>
      </c>
      <c r="D10" s="7"/>
      <c r="E10" s="6" t="s">
        <v>26</v>
      </c>
      <c r="F10" s="6"/>
      <c r="G10" s="7">
        <v>20</v>
      </c>
      <c r="H10" s="7">
        <v>194</v>
      </c>
      <c r="I10" s="8">
        <v>0</v>
      </c>
      <c r="J10" s="6" t="s">
        <v>27</v>
      </c>
      <c r="K10" s="6" t="str">
        <f t="shared" si="0"/>
        <v>No</v>
      </c>
      <c r="L10" s="6" t="s">
        <v>50</v>
      </c>
    </row>
    <row r="11" spans="1:12" x14ac:dyDescent="0.2">
      <c r="A11" s="6" t="s">
        <v>51</v>
      </c>
      <c r="B11" s="6" t="s">
        <v>41</v>
      </c>
      <c r="C11" s="6" t="s">
        <v>47</v>
      </c>
      <c r="D11" s="7"/>
      <c r="E11" s="6" t="s">
        <v>26</v>
      </c>
      <c r="F11" s="6"/>
      <c r="G11" s="7">
        <v>21</v>
      </c>
      <c r="H11" s="7">
        <v>197</v>
      </c>
      <c r="I11" s="8">
        <v>0</v>
      </c>
      <c r="J11" s="6" t="s">
        <v>27</v>
      </c>
      <c r="K11" s="6" t="str">
        <f t="shared" si="0"/>
        <v>No</v>
      </c>
      <c r="L11" s="6" t="s">
        <v>52</v>
      </c>
    </row>
    <row r="12" spans="1:12" x14ac:dyDescent="0.2">
      <c r="A12" s="6" t="s">
        <v>53</v>
      </c>
      <c r="B12" s="6" t="s">
        <v>54</v>
      </c>
      <c r="C12" s="6" t="s">
        <v>47</v>
      </c>
      <c r="D12" s="7"/>
      <c r="E12" s="6" t="s">
        <v>26</v>
      </c>
      <c r="F12" s="6"/>
      <c r="G12" s="7">
        <v>21</v>
      </c>
      <c r="H12" s="7">
        <v>193</v>
      </c>
      <c r="I12" s="8">
        <v>1</v>
      </c>
      <c r="J12" s="6" t="s">
        <v>34</v>
      </c>
      <c r="K12" s="6" t="str">
        <f t="shared" si="0"/>
        <v>Yes</v>
      </c>
      <c r="L12" s="6" t="s">
        <v>55</v>
      </c>
    </row>
    <row r="13" spans="1:12" x14ac:dyDescent="0.2">
      <c r="A13" s="6" t="s">
        <v>56</v>
      </c>
      <c r="B13" s="6" t="s">
        <v>57</v>
      </c>
      <c r="C13" s="6" t="s">
        <v>58</v>
      </c>
      <c r="D13" s="7"/>
      <c r="E13" s="6" t="s">
        <v>26</v>
      </c>
      <c r="F13" s="6"/>
      <c r="G13" s="7">
        <v>23</v>
      </c>
      <c r="H13" s="7">
        <v>163</v>
      </c>
      <c r="I13" s="8">
        <v>0.211304351687431</v>
      </c>
      <c r="J13" s="6" t="s">
        <v>59</v>
      </c>
      <c r="K13" s="6" t="str">
        <f t="shared" si="0"/>
        <v>No</v>
      </c>
      <c r="L13" s="6" t="s">
        <v>60</v>
      </c>
    </row>
    <row r="14" spans="1:12" x14ac:dyDescent="0.2">
      <c r="A14" s="6" t="s">
        <v>61</v>
      </c>
      <c r="B14" s="6" t="s">
        <v>57</v>
      </c>
      <c r="C14" s="6" t="s">
        <v>58</v>
      </c>
      <c r="D14" s="7"/>
      <c r="E14" s="6" t="s">
        <v>26</v>
      </c>
      <c r="F14" s="6"/>
      <c r="G14" s="7">
        <v>22</v>
      </c>
      <c r="H14" s="7">
        <v>199</v>
      </c>
      <c r="I14" s="8">
        <v>0</v>
      </c>
      <c r="J14" s="6" t="s">
        <v>27</v>
      </c>
      <c r="K14" s="6" t="str">
        <f t="shared" si="0"/>
        <v>No</v>
      </c>
      <c r="L14" s="6" t="s">
        <v>62</v>
      </c>
    </row>
    <row r="15" spans="1:12" x14ac:dyDescent="0.2">
      <c r="A15" s="6" t="s">
        <v>63</v>
      </c>
      <c r="B15" s="6" t="s">
        <v>41</v>
      </c>
      <c r="C15" s="6" t="s">
        <v>58</v>
      </c>
      <c r="D15" s="7"/>
      <c r="E15" s="6" t="s">
        <v>26</v>
      </c>
      <c r="F15" s="6"/>
      <c r="G15" s="7">
        <v>22</v>
      </c>
      <c r="H15" s="7">
        <v>200</v>
      </c>
      <c r="I15" s="8">
        <v>1</v>
      </c>
      <c r="J15" s="6" t="s">
        <v>34</v>
      </c>
      <c r="K15" s="6" t="str">
        <f t="shared" si="0"/>
        <v>Yes</v>
      </c>
      <c r="L15" s="6" t="s">
        <v>64</v>
      </c>
    </row>
    <row r="16" spans="1:12" x14ac:dyDescent="0.2">
      <c r="A16" s="6" t="s">
        <v>65</v>
      </c>
      <c r="B16" s="6" t="s">
        <v>30</v>
      </c>
      <c r="C16" s="6" t="s">
        <v>58</v>
      </c>
      <c r="D16" s="7"/>
      <c r="E16" s="6" t="s">
        <v>26</v>
      </c>
      <c r="F16" s="6"/>
      <c r="G16" s="7">
        <v>23</v>
      </c>
      <c r="H16" s="7">
        <v>92</v>
      </c>
      <c r="I16" s="8">
        <v>0</v>
      </c>
      <c r="J16" s="6" t="s">
        <v>27</v>
      </c>
      <c r="K16" s="6" t="str">
        <f t="shared" si="0"/>
        <v>No</v>
      </c>
      <c r="L16" s="6" t="s">
        <v>66</v>
      </c>
    </row>
    <row r="17" spans="1:12" x14ac:dyDescent="0.2">
      <c r="A17" s="6" t="s">
        <v>67</v>
      </c>
      <c r="B17" s="6" t="s">
        <v>24</v>
      </c>
      <c r="C17" s="6" t="s">
        <v>68</v>
      </c>
      <c r="D17" s="7"/>
      <c r="E17" s="6" t="s">
        <v>26</v>
      </c>
      <c r="F17" s="6"/>
      <c r="G17" s="7">
        <v>24</v>
      </c>
      <c r="H17" s="7">
        <v>196</v>
      </c>
      <c r="I17" s="8">
        <v>0</v>
      </c>
      <c r="J17" s="6" t="s">
        <v>27</v>
      </c>
      <c r="K17" s="6" t="str">
        <f t="shared" si="0"/>
        <v>No</v>
      </c>
      <c r="L17" s="6" t="s">
        <v>69</v>
      </c>
    </row>
    <row r="18" spans="1:12" x14ac:dyDescent="0.2">
      <c r="A18" s="6" t="s">
        <v>70</v>
      </c>
      <c r="B18" s="6" t="s">
        <v>30</v>
      </c>
      <c r="C18" s="6" t="s">
        <v>68</v>
      </c>
      <c r="D18" s="7"/>
      <c r="E18" s="6" t="s">
        <v>26</v>
      </c>
      <c r="F18" s="6"/>
      <c r="G18" s="7">
        <v>25</v>
      </c>
      <c r="H18" s="7">
        <v>199</v>
      </c>
      <c r="I18" s="8">
        <v>0</v>
      </c>
      <c r="J18" s="6" t="s">
        <v>27</v>
      </c>
      <c r="K18" s="6" t="str">
        <f t="shared" si="0"/>
        <v>No</v>
      </c>
      <c r="L18" s="6" t="s">
        <v>71</v>
      </c>
    </row>
    <row r="19" spans="1:12" x14ac:dyDescent="0.2">
      <c r="A19" s="6" t="s">
        <v>72</v>
      </c>
      <c r="B19" s="6" t="s">
        <v>41</v>
      </c>
      <c r="C19" s="6" t="s">
        <v>68</v>
      </c>
      <c r="D19" s="7"/>
      <c r="E19" s="6" t="s">
        <v>26</v>
      </c>
      <c r="F19" s="6"/>
      <c r="G19" s="7">
        <v>24</v>
      </c>
      <c r="H19" s="7">
        <v>143</v>
      </c>
      <c r="I19" s="8">
        <v>0</v>
      </c>
      <c r="J19" s="6" t="s">
        <v>27</v>
      </c>
      <c r="K19" s="6" t="str">
        <f t="shared" si="0"/>
        <v>No</v>
      </c>
      <c r="L19" s="6" t="s">
        <v>73</v>
      </c>
    </row>
    <row r="20" spans="1:12" x14ac:dyDescent="0.2">
      <c r="A20" s="6" t="s">
        <v>74</v>
      </c>
      <c r="B20" s="6" t="s">
        <v>24</v>
      </c>
      <c r="C20" s="6" t="s">
        <v>75</v>
      </c>
      <c r="D20" s="7"/>
      <c r="E20" s="6" t="s">
        <v>26</v>
      </c>
      <c r="F20" s="6"/>
      <c r="G20" s="7">
        <v>29</v>
      </c>
      <c r="H20" s="7">
        <v>200</v>
      </c>
      <c r="I20" s="8">
        <v>1</v>
      </c>
      <c r="J20" s="6" t="s">
        <v>34</v>
      </c>
      <c r="K20" s="6" t="str">
        <f t="shared" si="0"/>
        <v>Yes</v>
      </c>
      <c r="L20" s="6" t="s">
        <v>76</v>
      </c>
    </row>
    <row r="21" spans="1:12" x14ac:dyDescent="0.2">
      <c r="A21" s="6" t="s">
        <v>77</v>
      </c>
      <c r="B21" s="6" t="s">
        <v>30</v>
      </c>
      <c r="C21" s="6" t="s">
        <v>75</v>
      </c>
      <c r="D21" s="7"/>
      <c r="E21" s="6" t="s">
        <v>26</v>
      </c>
      <c r="F21" s="6"/>
      <c r="G21" s="7">
        <v>29</v>
      </c>
      <c r="H21" s="7">
        <v>200</v>
      </c>
      <c r="I21" s="8">
        <v>0</v>
      </c>
      <c r="J21" s="6" t="s">
        <v>59</v>
      </c>
      <c r="K21" s="6" t="str">
        <f t="shared" si="0"/>
        <v>No</v>
      </c>
      <c r="L21" s="6" t="s">
        <v>78</v>
      </c>
    </row>
    <row r="22" spans="1:12" x14ac:dyDescent="0.2">
      <c r="A22" s="6" t="s">
        <v>79</v>
      </c>
      <c r="B22" s="6" t="s">
        <v>30</v>
      </c>
      <c r="C22" s="6" t="s">
        <v>80</v>
      </c>
      <c r="D22" s="7"/>
      <c r="E22" s="6" t="s">
        <v>26</v>
      </c>
      <c r="F22" s="6"/>
      <c r="G22" s="7">
        <v>27</v>
      </c>
      <c r="H22" s="7">
        <v>159</v>
      </c>
      <c r="I22" s="8">
        <v>1</v>
      </c>
      <c r="J22" s="6" t="s">
        <v>34</v>
      </c>
      <c r="K22" s="6" t="str">
        <f t="shared" si="0"/>
        <v>Yes</v>
      </c>
      <c r="L22" s="6" t="s">
        <v>81</v>
      </c>
    </row>
    <row r="23" spans="1:12" x14ac:dyDescent="0.2">
      <c r="A23" s="6" t="s">
        <v>82</v>
      </c>
      <c r="B23" s="6" t="s">
        <v>24</v>
      </c>
      <c r="C23" s="6" t="s">
        <v>80</v>
      </c>
      <c r="D23" s="7"/>
      <c r="E23" s="6" t="s">
        <v>26</v>
      </c>
      <c r="F23" s="6"/>
      <c r="G23" s="7">
        <v>27</v>
      </c>
      <c r="H23" s="7">
        <v>195</v>
      </c>
      <c r="I23" s="8">
        <v>0</v>
      </c>
      <c r="J23" s="6" t="s">
        <v>27</v>
      </c>
      <c r="K23" s="6" t="str">
        <f t="shared" si="0"/>
        <v>No</v>
      </c>
      <c r="L23" s="6" t="s">
        <v>83</v>
      </c>
    </row>
    <row r="24" spans="1:12" x14ac:dyDescent="0.2">
      <c r="A24" s="6" t="s">
        <v>84</v>
      </c>
      <c r="B24" s="6" t="s">
        <v>30</v>
      </c>
      <c r="C24" s="6" t="s">
        <v>85</v>
      </c>
      <c r="D24" s="7"/>
      <c r="E24" s="6" t="s">
        <v>26</v>
      </c>
      <c r="F24" s="6"/>
      <c r="G24" s="7">
        <v>28</v>
      </c>
      <c r="H24" s="7">
        <v>200</v>
      </c>
      <c r="I24" s="8">
        <v>0</v>
      </c>
      <c r="J24" s="6" t="s">
        <v>27</v>
      </c>
      <c r="K24" s="6" t="str">
        <f t="shared" si="0"/>
        <v>No</v>
      </c>
      <c r="L24" s="6" t="s">
        <v>86</v>
      </c>
    </row>
    <row r="25" spans="1:12" x14ac:dyDescent="0.2">
      <c r="A25" s="6" t="s">
        <v>87</v>
      </c>
      <c r="B25" s="6" t="s">
        <v>24</v>
      </c>
      <c r="C25" s="6" t="s">
        <v>85</v>
      </c>
      <c r="D25" s="7"/>
      <c r="E25" s="6" t="s">
        <v>26</v>
      </c>
      <c r="F25" s="6"/>
      <c r="G25" s="7">
        <v>28</v>
      </c>
      <c r="H25" s="7">
        <v>201</v>
      </c>
      <c r="I25" s="8">
        <v>0</v>
      </c>
      <c r="J25" s="6" t="s">
        <v>27</v>
      </c>
      <c r="K25" s="6" t="str">
        <f t="shared" si="0"/>
        <v>No</v>
      </c>
      <c r="L25" s="6" t="s">
        <v>88</v>
      </c>
    </row>
    <row r="26" spans="1:12" x14ac:dyDescent="0.2">
      <c r="A26" s="6" t="s">
        <v>89</v>
      </c>
      <c r="B26" s="6" t="s">
        <v>30</v>
      </c>
      <c r="C26" s="6" t="s">
        <v>90</v>
      </c>
      <c r="D26" s="7">
        <v>1</v>
      </c>
      <c r="E26" s="6" t="s">
        <v>91</v>
      </c>
      <c r="F26" s="6" t="s">
        <v>92</v>
      </c>
      <c r="G26" s="7">
        <v>33</v>
      </c>
      <c r="H26" s="7">
        <v>189</v>
      </c>
      <c r="I26" s="8">
        <v>0</v>
      </c>
      <c r="J26" s="6" t="s">
        <v>27</v>
      </c>
      <c r="K26" s="6" t="str">
        <f t="shared" si="0"/>
        <v>No</v>
      </c>
      <c r="L26" s="6" t="s">
        <v>93</v>
      </c>
    </row>
    <row r="27" spans="1:12" x14ac:dyDescent="0.2">
      <c r="A27" s="6" t="s">
        <v>94</v>
      </c>
      <c r="B27" s="6" t="s">
        <v>24</v>
      </c>
      <c r="C27" s="6" t="s">
        <v>90</v>
      </c>
      <c r="D27" s="7">
        <v>1</v>
      </c>
      <c r="E27" s="6" t="s">
        <v>91</v>
      </c>
      <c r="F27" s="6" t="s">
        <v>92</v>
      </c>
      <c r="G27" s="7">
        <v>34</v>
      </c>
      <c r="H27" s="7">
        <v>198</v>
      </c>
      <c r="I27" s="8">
        <v>0</v>
      </c>
      <c r="J27" s="6" t="s">
        <v>27</v>
      </c>
      <c r="K27" s="6" t="str">
        <f t="shared" si="0"/>
        <v>No</v>
      </c>
      <c r="L27" s="6" t="s">
        <v>95</v>
      </c>
    </row>
    <row r="28" spans="1:12" x14ac:dyDescent="0.2">
      <c r="A28" s="6" t="s">
        <v>96</v>
      </c>
      <c r="B28" s="6" t="s">
        <v>30</v>
      </c>
      <c r="C28" s="6" t="s">
        <v>90</v>
      </c>
      <c r="D28" s="7">
        <v>1</v>
      </c>
      <c r="E28" s="6" t="s">
        <v>91</v>
      </c>
      <c r="F28" s="6" t="s">
        <v>92</v>
      </c>
      <c r="G28" s="7">
        <v>33</v>
      </c>
      <c r="H28" s="7">
        <v>200</v>
      </c>
      <c r="I28" s="8">
        <v>0</v>
      </c>
      <c r="J28" s="6" t="s">
        <v>27</v>
      </c>
      <c r="K28" s="6" t="str">
        <f t="shared" si="0"/>
        <v>No</v>
      </c>
      <c r="L28" s="6" t="s">
        <v>97</v>
      </c>
    </row>
    <row r="29" spans="1:12" x14ac:dyDescent="0.2">
      <c r="A29" s="6" t="s">
        <v>98</v>
      </c>
      <c r="B29" s="6" t="s">
        <v>24</v>
      </c>
      <c r="C29" s="6" t="s">
        <v>99</v>
      </c>
      <c r="D29" s="7">
        <v>1</v>
      </c>
      <c r="E29" s="6" t="s">
        <v>91</v>
      </c>
      <c r="F29" s="6" t="s">
        <v>100</v>
      </c>
      <c r="G29" s="7">
        <v>32</v>
      </c>
      <c r="H29" s="7">
        <v>201</v>
      </c>
      <c r="I29" s="8">
        <v>1</v>
      </c>
      <c r="J29" s="6" t="s">
        <v>34</v>
      </c>
      <c r="K29" s="6" t="str">
        <f t="shared" si="0"/>
        <v>Yes</v>
      </c>
      <c r="L29" s="6" t="s">
        <v>101</v>
      </c>
    </row>
    <row r="30" spans="1:12" x14ac:dyDescent="0.2">
      <c r="A30" s="6" t="s">
        <v>102</v>
      </c>
      <c r="B30" s="6" t="s">
        <v>30</v>
      </c>
      <c r="C30" s="6" t="s">
        <v>99</v>
      </c>
      <c r="D30" s="7">
        <v>1</v>
      </c>
      <c r="E30" s="6" t="s">
        <v>91</v>
      </c>
      <c r="F30" s="6" t="s">
        <v>100</v>
      </c>
      <c r="G30" s="7">
        <v>32</v>
      </c>
      <c r="H30" s="7"/>
      <c r="I30" s="8"/>
      <c r="J30" s="6" t="s">
        <v>42</v>
      </c>
      <c r="K30" s="6" t="str">
        <f t="shared" si="0"/>
        <v>no statement</v>
      </c>
      <c r="L30" s="6" t="s">
        <v>43</v>
      </c>
    </row>
    <row r="31" spans="1:12" x14ac:dyDescent="0.2">
      <c r="A31" s="6" t="s">
        <v>103</v>
      </c>
      <c r="B31" s="6" t="s">
        <v>30</v>
      </c>
      <c r="C31" s="6" t="s">
        <v>104</v>
      </c>
      <c r="D31" s="7">
        <v>2</v>
      </c>
      <c r="E31" s="6" t="s">
        <v>91</v>
      </c>
      <c r="F31" s="6" t="s">
        <v>92</v>
      </c>
      <c r="G31" s="7">
        <v>37</v>
      </c>
      <c r="H31" s="7">
        <v>200</v>
      </c>
      <c r="I31" s="8">
        <v>0</v>
      </c>
      <c r="J31" s="6" t="s">
        <v>27</v>
      </c>
      <c r="K31" s="6" t="str">
        <f t="shared" si="0"/>
        <v>No</v>
      </c>
      <c r="L31" s="6" t="s">
        <v>105</v>
      </c>
    </row>
    <row r="32" spans="1:12" x14ac:dyDescent="0.2">
      <c r="A32" s="6" t="s">
        <v>106</v>
      </c>
      <c r="B32" s="6" t="s">
        <v>30</v>
      </c>
      <c r="C32" s="6" t="s">
        <v>104</v>
      </c>
      <c r="D32" s="7">
        <v>2</v>
      </c>
      <c r="E32" s="6" t="s">
        <v>91</v>
      </c>
      <c r="F32" s="6" t="s">
        <v>92</v>
      </c>
      <c r="G32" s="7">
        <v>36</v>
      </c>
      <c r="H32" s="7">
        <v>195</v>
      </c>
      <c r="I32" s="8">
        <v>1</v>
      </c>
      <c r="J32" s="6" t="s">
        <v>34</v>
      </c>
      <c r="K32" s="6" t="str">
        <f t="shared" si="0"/>
        <v>Yes</v>
      </c>
      <c r="L32" s="6" t="s">
        <v>107</v>
      </c>
    </row>
    <row r="33" spans="1:12" x14ac:dyDescent="0.2">
      <c r="A33" s="6" t="s">
        <v>108</v>
      </c>
      <c r="B33" s="6" t="s">
        <v>24</v>
      </c>
      <c r="C33" s="6" t="s">
        <v>104</v>
      </c>
      <c r="D33" s="7">
        <v>2</v>
      </c>
      <c r="E33" s="6" t="s">
        <v>91</v>
      </c>
      <c r="F33" s="6" t="s">
        <v>92</v>
      </c>
      <c r="G33" s="7">
        <v>36</v>
      </c>
      <c r="H33" s="7">
        <v>180</v>
      </c>
      <c r="I33" s="8">
        <v>0</v>
      </c>
      <c r="J33" s="6" t="s">
        <v>27</v>
      </c>
      <c r="K33" s="6" t="str">
        <f t="shared" si="0"/>
        <v>No</v>
      </c>
      <c r="L33" s="6" t="s">
        <v>109</v>
      </c>
    </row>
    <row r="34" spans="1:12" x14ac:dyDescent="0.2">
      <c r="A34" s="6" t="s">
        <v>110</v>
      </c>
      <c r="B34" s="6" t="s">
        <v>24</v>
      </c>
      <c r="C34" s="6" t="s">
        <v>111</v>
      </c>
      <c r="D34" s="7">
        <v>2</v>
      </c>
      <c r="E34" s="6" t="s">
        <v>91</v>
      </c>
      <c r="F34" s="6" t="s">
        <v>100</v>
      </c>
      <c r="G34" s="7">
        <v>35</v>
      </c>
      <c r="H34" s="7">
        <v>190</v>
      </c>
      <c r="I34" s="8">
        <v>0</v>
      </c>
      <c r="J34" s="6" t="s">
        <v>27</v>
      </c>
      <c r="K34" s="6" t="str">
        <f t="shared" si="0"/>
        <v>No</v>
      </c>
      <c r="L34" s="6" t="s">
        <v>112</v>
      </c>
    </row>
    <row r="35" spans="1:12" x14ac:dyDescent="0.2">
      <c r="A35" s="6" t="s">
        <v>113</v>
      </c>
      <c r="B35" s="6" t="s">
        <v>30</v>
      </c>
      <c r="C35" s="6" t="s">
        <v>111</v>
      </c>
      <c r="D35" s="7">
        <v>2</v>
      </c>
      <c r="E35" s="6" t="s">
        <v>91</v>
      </c>
      <c r="F35" s="6" t="s">
        <v>100</v>
      </c>
      <c r="G35" s="7">
        <v>35</v>
      </c>
      <c r="H35" s="7">
        <v>152</v>
      </c>
      <c r="I35" s="8">
        <v>0</v>
      </c>
      <c r="J35" s="6" t="s">
        <v>27</v>
      </c>
      <c r="K35" s="6" t="str">
        <f t="shared" si="0"/>
        <v>No</v>
      </c>
      <c r="L35" s="6" t="s">
        <v>114</v>
      </c>
    </row>
    <row r="36" spans="1:12" x14ac:dyDescent="0.2">
      <c r="A36" s="6" t="s">
        <v>115</v>
      </c>
      <c r="B36" s="6" t="s">
        <v>30</v>
      </c>
      <c r="C36" s="6" t="s">
        <v>116</v>
      </c>
      <c r="D36" s="7">
        <v>3</v>
      </c>
      <c r="E36" s="6" t="s">
        <v>91</v>
      </c>
      <c r="F36" s="6" t="s">
        <v>92</v>
      </c>
      <c r="G36" s="7">
        <v>40</v>
      </c>
      <c r="H36" s="7"/>
      <c r="I36" s="8"/>
      <c r="J36" s="6" t="s">
        <v>42</v>
      </c>
      <c r="K36" s="6" t="str">
        <f t="shared" si="0"/>
        <v>no statement</v>
      </c>
      <c r="L36" s="6" t="s">
        <v>43</v>
      </c>
    </row>
    <row r="37" spans="1:12" x14ac:dyDescent="0.2">
      <c r="A37" s="6" t="s">
        <v>117</v>
      </c>
      <c r="B37" s="6" t="s">
        <v>30</v>
      </c>
      <c r="C37" s="6" t="s">
        <v>116</v>
      </c>
      <c r="D37" s="7">
        <v>3</v>
      </c>
      <c r="E37" s="6" t="s">
        <v>91</v>
      </c>
      <c r="F37" s="6" t="s">
        <v>92</v>
      </c>
      <c r="G37" s="7">
        <v>39</v>
      </c>
      <c r="H37" s="7">
        <v>199</v>
      </c>
      <c r="I37" s="8">
        <v>0</v>
      </c>
      <c r="J37" s="6" t="s">
        <v>27</v>
      </c>
      <c r="K37" s="6" t="str">
        <f t="shared" si="0"/>
        <v>No</v>
      </c>
      <c r="L37" s="6" t="s">
        <v>118</v>
      </c>
    </row>
    <row r="38" spans="1:12" x14ac:dyDescent="0.2">
      <c r="A38" s="6" t="s">
        <v>119</v>
      </c>
      <c r="B38" s="6" t="s">
        <v>54</v>
      </c>
      <c r="C38" s="6" t="s">
        <v>116</v>
      </c>
      <c r="D38" s="7">
        <v>3</v>
      </c>
      <c r="E38" s="6" t="s">
        <v>91</v>
      </c>
      <c r="F38" s="6" t="s">
        <v>92</v>
      </c>
      <c r="G38" s="7">
        <v>40</v>
      </c>
      <c r="H38" s="7">
        <v>157</v>
      </c>
      <c r="I38" s="8">
        <v>0</v>
      </c>
      <c r="J38" s="6" t="s">
        <v>27</v>
      </c>
      <c r="K38" s="6" t="str">
        <f t="shared" si="0"/>
        <v>No</v>
      </c>
      <c r="L38" s="6" t="s">
        <v>120</v>
      </c>
    </row>
    <row r="39" spans="1:12" x14ac:dyDescent="0.2">
      <c r="A39" s="6" t="s">
        <v>121</v>
      </c>
      <c r="B39" s="6" t="s">
        <v>24</v>
      </c>
      <c r="C39" s="6" t="s">
        <v>116</v>
      </c>
      <c r="D39" s="7">
        <v>3</v>
      </c>
      <c r="E39" s="6" t="s">
        <v>91</v>
      </c>
      <c r="F39" s="6" t="s">
        <v>92</v>
      </c>
      <c r="G39" s="7">
        <v>39</v>
      </c>
      <c r="H39" s="7">
        <v>206</v>
      </c>
      <c r="I39" s="8">
        <v>1</v>
      </c>
      <c r="J39" s="6" t="s">
        <v>34</v>
      </c>
      <c r="K39" s="6" t="str">
        <f t="shared" si="0"/>
        <v>Yes</v>
      </c>
      <c r="L39" s="6" t="s">
        <v>122</v>
      </c>
    </row>
    <row r="40" spans="1:12" x14ac:dyDescent="0.2">
      <c r="A40" s="6" t="s">
        <v>123</v>
      </c>
      <c r="B40" s="6" t="s">
        <v>24</v>
      </c>
      <c r="C40" s="6" t="s">
        <v>116</v>
      </c>
      <c r="D40" s="7">
        <v>3</v>
      </c>
      <c r="E40" s="6" t="s">
        <v>91</v>
      </c>
      <c r="F40" s="6" t="s">
        <v>92</v>
      </c>
      <c r="G40" s="7">
        <v>40</v>
      </c>
      <c r="H40" s="7">
        <v>171</v>
      </c>
      <c r="I40" s="8">
        <v>1</v>
      </c>
      <c r="J40" s="6" t="s">
        <v>34</v>
      </c>
      <c r="K40" s="6" t="str">
        <f t="shared" si="0"/>
        <v>Yes</v>
      </c>
      <c r="L40" s="6" t="s">
        <v>124</v>
      </c>
    </row>
    <row r="41" spans="1:12" x14ac:dyDescent="0.2">
      <c r="A41" s="6" t="s">
        <v>125</v>
      </c>
      <c r="B41" s="6" t="s">
        <v>24</v>
      </c>
      <c r="C41" s="6" t="s">
        <v>126</v>
      </c>
      <c r="D41" s="7">
        <v>3</v>
      </c>
      <c r="E41" s="6" t="s">
        <v>91</v>
      </c>
      <c r="F41" s="6" t="s">
        <v>100</v>
      </c>
      <c r="G41" s="7">
        <v>38</v>
      </c>
      <c r="H41" s="7">
        <v>197</v>
      </c>
      <c r="I41" s="8">
        <v>0</v>
      </c>
      <c r="J41" s="6" t="s">
        <v>27</v>
      </c>
      <c r="K41" s="6" t="str">
        <f t="shared" si="0"/>
        <v>No</v>
      </c>
      <c r="L41" s="6" t="s">
        <v>127</v>
      </c>
    </row>
    <row r="42" spans="1:12" x14ac:dyDescent="0.2">
      <c r="A42" s="6" t="s">
        <v>128</v>
      </c>
      <c r="B42" s="6" t="s">
        <v>30</v>
      </c>
      <c r="C42" s="6" t="s">
        <v>126</v>
      </c>
      <c r="D42" s="7">
        <v>3</v>
      </c>
      <c r="E42" s="6" t="s">
        <v>91</v>
      </c>
      <c r="F42" s="6" t="s">
        <v>100</v>
      </c>
      <c r="G42" s="7">
        <v>38</v>
      </c>
      <c r="H42" s="7">
        <v>174</v>
      </c>
      <c r="I42" s="8">
        <v>1</v>
      </c>
      <c r="J42" s="6" t="s">
        <v>34</v>
      </c>
      <c r="K42" s="6" t="str">
        <f t="shared" si="0"/>
        <v>Yes</v>
      </c>
      <c r="L42" s="6" t="s">
        <v>129</v>
      </c>
    </row>
    <row r="43" spans="1:12" x14ac:dyDescent="0.2">
      <c r="A43" s="6" t="s">
        <v>130</v>
      </c>
      <c r="B43" s="6" t="s">
        <v>24</v>
      </c>
      <c r="C43" s="6" t="s">
        <v>131</v>
      </c>
      <c r="D43" s="7">
        <v>4</v>
      </c>
      <c r="E43" s="6" t="s">
        <v>91</v>
      </c>
      <c r="F43" s="6" t="s">
        <v>92</v>
      </c>
      <c r="G43" s="7">
        <v>43</v>
      </c>
      <c r="H43" s="7">
        <v>182</v>
      </c>
      <c r="I43" s="8">
        <v>0</v>
      </c>
      <c r="J43" s="6" t="s">
        <v>27</v>
      </c>
      <c r="K43" s="6" t="str">
        <f t="shared" si="0"/>
        <v>No</v>
      </c>
      <c r="L43" s="6" t="s">
        <v>132</v>
      </c>
    </row>
    <row r="44" spans="1:12" x14ac:dyDescent="0.2">
      <c r="A44" s="6" t="s">
        <v>133</v>
      </c>
      <c r="B44" s="6" t="s">
        <v>30</v>
      </c>
      <c r="C44" s="6" t="s">
        <v>131</v>
      </c>
      <c r="D44" s="7">
        <v>4</v>
      </c>
      <c r="E44" s="6" t="s">
        <v>91</v>
      </c>
      <c r="F44" s="6" t="s">
        <v>92</v>
      </c>
      <c r="G44" s="7">
        <v>43</v>
      </c>
      <c r="H44" s="7">
        <v>197</v>
      </c>
      <c r="I44" s="8">
        <v>0.58558559417724598</v>
      </c>
      <c r="J44" s="6" t="s">
        <v>59</v>
      </c>
      <c r="K44" s="6" t="str">
        <f t="shared" si="0"/>
        <v>Yes</v>
      </c>
      <c r="L44" s="6" t="s">
        <v>134</v>
      </c>
    </row>
    <row r="45" spans="1:12" x14ac:dyDescent="0.2">
      <c r="A45" s="6" t="s">
        <v>135</v>
      </c>
      <c r="B45" s="6" t="s">
        <v>30</v>
      </c>
      <c r="C45" s="6" t="s">
        <v>131</v>
      </c>
      <c r="D45" s="7">
        <v>4</v>
      </c>
      <c r="E45" s="6" t="s">
        <v>91</v>
      </c>
      <c r="F45" s="6" t="s">
        <v>92</v>
      </c>
      <c r="G45" s="7">
        <v>42</v>
      </c>
      <c r="H45" s="7">
        <v>188</v>
      </c>
      <c r="I45" s="8">
        <v>1</v>
      </c>
      <c r="J45" s="6" t="s">
        <v>34</v>
      </c>
      <c r="K45" s="6" t="str">
        <f t="shared" si="0"/>
        <v>Yes</v>
      </c>
      <c r="L45" s="6" t="s">
        <v>136</v>
      </c>
    </row>
    <row r="46" spans="1:12" x14ac:dyDescent="0.2">
      <c r="A46" s="6" t="s">
        <v>137</v>
      </c>
      <c r="B46" s="6" t="s">
        <v>24</v>
      </c>
      <c r="C46" s="6" t="s">
        <v>131</v>
      </c>
      <c r="D46" s="7">
        <v>4</v>
      </c>
      <c r="E46" s="6" t="s">
        <v>91</v>
      </c>
      <c r="F46" s="6" t="s">
        <v>92</v>
      </c>
      <c r="G46" s="7">
        <v>42</v>
      </c>
      <c r="H46" s="7">
        <v>199</v>
      </c>
      <c r="I46" s="8">
        <v>1</v>
      </c>
      <c r="J46" s="6" t="s">
        <v>34</v>
      </c>
      <c r="K46" s="6" t="str">
        <f t="shared" si="0"/>
        <v>Yes</v>
      </c>
      <c r="L46" s="6" t="s">
        <v>138</v>
      </c>
    </row>
    <row r="47" spans="1:12" x14ac:dyDescent="0.2">
      <c r="A47" s="6" t="s">
        <v>139</v>
      </c>
      <c r="B47" s="6" t="s">
        <v>24</v>
      </c>
      <c r="C47" s="6" t="s">
        <v>140</v>
      </c>
      <c r="D47" s="7">
        <v>4</v>
      </c>
      <c r="E47" s="6" t="s">
        <v>91</v>
      </c>
      <c r="F47" s="6" t="s">
        <v>100</v>
      </c>
      <c r="G47" s="7">
        <v>41</v>
      </c>
      <c r="H47" s="7">
        <v>185</v>
      </c>
      <c r="I47" s="8">
        <v>1</v>
      </c>
      <c r="J47" s="6" t="s">
        <v>34</v>
      </c>
      <c r="K47" s="6" t="str">
        <f t="shared" si="0"/>
        <v>Yes</v>
      </c>
      <c r="L47" s="6" t="s">
        <v>141</v>
      </c>
    </row>
    <row r="48" spans="1:12" x14ac:dyDescent="0.2">
      <c r="A48" s="6" t="s">
        <v>142</v>
      </c>
      <c r="B48" s="6" t="s">
        <v>30</v>
      </c>
      <c r="C48" s="6" t="s">
        <v>140</v>
      </c>
      <c r="D48" s="7">
        <v>4</v>
      </c>
      <c r="E48" s="6" t="s">
        <v>91</v>
      </c>
      <c r="F48" s="6" t="s">
        <v>100</v>
      </c>
      <c r="G48" s="7">
        <v>41</v>
      </c>
      <c r="H48" s="7">
        <v>192</v>
      </c>
      <c r="I48" s="8">
        <v>0</v>
      </c>
      <c r="J48" s="6" t="s">
        <v>27</v>
      </c>
      <c r="K48" s="6" t="str">
        <f t="shared" si="0"/>
        <v>No</v>
      </c>
      <c r="L48" s="6" t="s">
        <v>143</v>
      </c>
    </row>
    <row r="49" spans="1:12" x14ac:dyDescent="0.2">
      <c r="A49" s="6" t="s">
        <v>144</v>
      </c>
      <c r="B49" s="6" t="s">
        <v>24</v>
      </c>
      <c r="C49" s="6" t="s">
        <v>145</v>
      </c>
      <c r="D49" s="7">
        <v>5</v>
      </c>
      <c r="E49" s="6" t="s">
        <v>91</v>
      </c>
      <c r="F49" s="6" t="s">
        <v>92</v>
      </c>
      <c r="G49" s="7">
        <v>45</v>
      </c>
      <c r="H49" s="7"/>
      <c r="I49" s="8"/>
      <c r="J49" s="6" t="s">
        <v>42</v>
      </c>
      <c r="K49" s="6" t="str">
        <f t="shared" si="0"/>
        <v>no statement</v>
      </c>
      <c r="L49" s="6" t="s">
        <v>43</v>
      </c>
    </row>
    <row r="50" spans="1:12" x14ac:dyDescent="0.2">
      <c r="A50" s="6" t="s">
        <v>146</v>
      </c>
      <c r="B50" s="6" t="s">
        <v>24</v>
      </c>
      <c r="C50" s="6" t="s">
        <v>145</v>
      </c>
      <c r="D50" s="7">
        <v>5</v>
      </c>
      <c r="E50" s="6" t="s">
        <v>91</v>
      </c>
      <c r="F50" s="6" t="s">
        <v>92</v>
      </c>
      <c r="G50" s="7">
        <v>45</v>
      </c>
      <c r="H50" s="7">
        <v>114</v>
      </c>
      <c r="I50" s="8">
        <v>1</v>
      </c>
      <c r="J50" s="6" t="s">
        <v>34</v>
      </c>
      <c r="K50" s="6" t="str">
        <f t="shared" si="0"/>
        <v>Yes</v>
      </c>
      <c r="L50" s="6" t="s">
        <v>147</v>
      </c>
    </row>
    <row r="51" spans="1:12" x14ac:dyDescent="0.2">
      <c r="A51" s="6" t="s">
        <v>148</v>
      </c>
      <c r="B51" s="6" t="s">
        <v>24</v>
      </c>
      <c r="C51" s="6" t="s">
        <v>149</v>
      </c>
      <c r="D51" s="7">
        <v>5</v>
      </c>
      <c r="E51" s="6" t="s">
        <v>91</v>
      </c>
      <c r="F51" s="6" t="s">
        <v>100</v>
      </c>
      <c r="G51" s="7">
        <v>44</v>
      </c>
      <c r="H51" s="7">
        <v>197</v>
      </c>
      <c r="I51" s="8">
        <v>0</v>
      </c>
      <c r="J51" s="6" t="s">
        <v>27</v>
      </c>
      <c r="K51" s="6" t="str">
        <f t="shared" si="0"/>
        <v>No</v>
      </c>
      <c r="L51" s="6" t="s">
        <v>150</v>
      </c>
    </row>
    <row r="52" spans="1:12" x14ac:dyDescent="0.2">
      <c r="A52" s="6" t="s">
        <v>151</v>
      </c>
      <c r="B52" s="6" t="s">
        <v>54</v>
      </c>
      <c r="C52" s="6" t="s">
        <v>149</v>
      </c>
      <c r="D52" s="7">
        <v>5</v>
      </c>
      <c r="E52" s="6" t="s">
        <v>91</v>
      </c>
      <c r="F52" s="6" t="s">
        <v>100</v>
      </c>
      <c r="G52" s="7">
        <v>44</v>
      </c>
      <c r="H52" s="7">
        <v>197</v>
      </c>
      <c r="I52" s="8">
        <v>0</v>
      </c>
      <c r="J52" s="6" t="s">
        <v>27</v>
      </c>
      <c r="K52" s="6" t="str">
        <f t="shared" si="0"/>
        <v>No</v>
      </c>
      <c r="L52" s="6" t="s">
        <v>152</v>
      </c>
    </row>
    <row r="53" spans="1:12" x14ac:dyDescent="0.2">
      <c r="A53" s="6" t="s">
        <v>153</v>
      </c>
      <c r="B53" s="6" t="s">
        <v>41</v>
      </c>
      <c r="C53" s="6" t="s">
        <v>154</v>
      </c>
      <c r="D53" s="7">
        <v>6</v>
      </c>
      <c r="E53" s="6" t="s">
        <v>91</v>
      </c>
      <c r="F53" s="6" t="s">
        <v>92</v>
      </c>
      <c r="G53" s="7">
        <v>48</v>
      </c>
      <c r="H53" s="7">
        <v>195</v>
      </c>
      <c r="I53" s="8">
        <v>1</v>
      </c>
      <c r="J53" s="6" t="s">
        <v>34</v>
      </c>
      <c r="K53" s="6" t="str">
        <f t="shared" si="0"/>
        <v>Yes</v>
      </c>
      <c r="L53" s="6" t="s">
        <v>155</v>
      </c>
    </row>
    <row r="54" spans="1:12" x14ac:dyDescent="0.2">
      <c r="A54" s="6" t="s">
        <v>156</v>
      </c>
      <c r="B54" s="6" t="s">
        <v>24</v>
      </c>
      <c r="C54" s="6" t="s">
        <v>154</v>
      </c>
      <c r="D54" s="7">
        <v>6</v>
      </c>
      <c r="E54" s="6" t="s">
        <v>91</v>
      </c>
      <c r="F54" s="6" t="s">
        <v>92</v>
      </c>
      <c r="G54" s="7">
        <v>47</v>
      </c>
      <c r="H54" s="7">
        <v>194</v>
      </c>
      <c r="I54" s="8">
        <v>1</v>
      </c>
      <c r="J54" s="6" t="s">
        <v>34</v>
      </c>
      <c r="K54" s="6" t="str">
        <f t="shared" si="0"/>
        <v>Yes</v>
      </c>
      <c r="L54" s="6" t="s">
        <v>157</v>
      </c>
    </row>
    <row r="55" spans="1:12" x14ac:dyDescent="0.2">
      <c r="A55" s="6" t="s">
        <v>158</v>
      </c>
      <c r="B55" s="6" t="s">
        <v>24</v>
      </c>
      <c r="C55" s="6" t="s">
        <v>154</v>
      </c>
      <c r="D55" s="7">
        <v>6</v>
      </c>
      <c r="E55" s="6" t="s">
        <v>91</v>
      </c>
      <c r="F55" s="6" t="s">
        <v>92</v>
      </c>
      <c r="G55" s="7">
        <v>47</v>
      </c>
      <c r="H55" s="7">
        <v>193</v>
      </c>
      <c r="I55" s="8">
        <v>0</v>
      </c>
      <c r="J55" s="6" t="s">
        <v>27</v>
      </c>
      <c r="K55" s="6" t="str">
        <f t="shared" si="0"/>
        <v>No</v>
      </c>
      <c r="L55" s="6" t="s">
        <v>159</v>
      </c>
    </row>
    <row r="56" spans="1:12" x14ac:dyDescent="0.2">
      <c r="A56" s="6" t="s">
        <v>160</v>
      </c>
      <c r="B56" s="6" t="s">
        <v>24</v>
      </c>
      <c r="C56" s="6" t="s">
        <v>161</v>
      </c>
      <c r="D56" s="7">
        <v>6</v>
      </c>
      <c r="E56" s="6" t="s">
        <v>91</v>
      </c>
      <c r="F56" s="6" t="s">
        <v>100</v>
      </c>
      <c r="G56" s="7">
        <v>46</v>
      </c>
      <c r="H56" s="7">
        <v>140</v>
      </c>
      <c r="I56" s="8">
        <v>0</v>
      </c>
      <c r="J56" s="6" t="s">
        <v>27</v>
      </c>
      <c r="K56" s="6" t="str">
        <f t="shared" si="0"/>
        <v>No</v>
      </c>
      <c r="L56" s="6" t="s">
        <v>162</v>
      </c>
    </row>
    <row r="57" spans="1:12" x14ac:dyDescent="0.2">
      <c r="A57" s="6" t="s">
        <v>163</v>
      </c>
      <c r="B57" s="6" t="s">
        <v>30</v>
      </c>
      <c r="C57" s="6" t="s">
        <v>161</v>
      </c>
      <c r="D57" s="7">
        <v>6</v>
      </c>
      <c r="E57" s="6" t="s">
        <v>91</v>
      </c>
      <c r="F57" s="6" t="s">
        <v>100</v>
      </c>
      <c r="G57" s="7">
        <v>46</v>
      </c>
      <c r="H57" s="7">
        <v>214</v>
      </c>
      <c r="I57" s="8">
        <v>1</v>
      </c>
      <c r="J57" s="6" t="s">
        <v>34</v>
      </c>
      <c r="K57" s="6" t="str">
        <f t="shared" si="0"/>
        <v>Yes</v>
      </c>
      <c r="L57" s="6" t="s">
        <v>164</v>
      </c>
    </row>
    <row r="58" spans="1:12" x14ac:dyDescent="0.2">
      <c r="A58" s="6" t="s">
        <v>165</v>
      </c>
      <c r="B58" s="6" t="s">
        <v>30</v>
      </c>
      <c r="C58" s="6" t="s">
        <v>166</v>
      </c>
      <c r="D58" s="7">
        <v>7</v>
      </c>
      <c r="E58" s="6" t="s">
        <v>91</v>
      </c>
      <c r="F58" s="6" t="s">
        <v>92</v>
      </c>
      <c r="G58" s="7">
        <v>50</v>
      </c>
      <c r="H58" s="7">
        <v>166</v>
      </c>
      <c r="I58" s="8">
        <v>0</v>
      </c>
      <c r="J58" s="6" t="s">
        <v>27</v>
      </c>
      <c r="K58" s="6" t="str">
        <f t="shared" si="0"/>
        <v>No</v>
      </c>
      <c r="L58" s="6" t="s">
        <v>167</v>
      </c>
    </row>
    <row r="59" spans="1:12" x14ac:dyDescent="0.2">
      <c r="A59" s="6" t="s">
        <v>168</v>
      </c>
      <c r="B59" s="6" t="s">
        <v>41</v>
      </c>
      <c r="C59" s="6" t="s">
        <v>166</v>
      </c>
      <c r="D59" s="7">
        <v>7</v>
      </c>
      <c r="E59" s="6" t="s">
        <v>91</v>
      </c>
      <c r="F59" s="6" t="s">
        <v>92</v>
      </c>
      <c r="G59" s="7">
        <v>51</v>
      </c>
      <c r="H59" s="7">
        <v>200</v>
      </c>
      <c r="I59" s="8">
        <v>0</v>
      </c>
      <c r="J59" s="6" t="s">
        <v>27</v>
      </c>
      <c r="K59" s="6" t="str">
        <f t="shared" si="0"/>
        <v>No</v>
      </c>
      <c r="L59" s="6" t="s">
        <v>169</v>
      </c>
    </row>
    <row r="60" spans="1:12" x14ac:dyDescent="0.2">
      <c r="A60" s="6" t="s">
        <v>170</v>
      </c>
      <c r="B60" s="6" t="s">
        <v>24</v>
      </c>
      <c r="C60" s="6" t="s">
        <v>166</v>
      </c>
      <c r="D60" s="7">
        <v>7</v>
      </c>
      <c r="E60" s="6" t="s">
        <v>91</v>
      </c>
      <c r="F60" s="6" t="s">
        <v>92</v>
      </c>
      <c r="G60" s="7">
        <v>51</v>
      </c>
      <c r="H60" s="7">
        <v>115</v>
      </c>
      <c r="I60" s="8">
        <v>0</v>
      </c>
      <c r="J60" s="6" t="s">
        <v>27</v>
      </c>
      <c r="K60" s="6" t="str">
        <f t="shared" si="0"/>
        <v>No</v>
      </c>
      <c r="L60" s="6" t="s">
        <v>171</v>
      </c>
    </row>
    <row r="61" spans="1:12" x14ac:dyDescent="0.2">
      <c r="A61" s="6" t="s">
        <v>172</v>
      </c>
      <c r="B61" s="6" t="s">
        <v>30</v>
      </c>
      <c r="C61" s="6" t="s">
        <v>166</v>
      </c>
      <c r="D61" s="7">
        <v>7</v>
      </c>
      <c r="E61" s="6" t="s">
        <v>91</v>
      </c>
      <c r="F61" s="6" t="s">
        <v>92</v>
      </c>
      <c r="G61" s="7">
        <v>50</v>
      </c>
      <c r="H61" s="7">
        <v>176</v>
      </c>
      <c r="I61" s="8">
        <v>0</v>
      </c>
      <c r="J61" s="6" t="s">
        <v>27</v>
      </c>
      <c r="K61" s="6" t="str">
        <f t="shared" si="0"/>
        <v>No</v>
      </c>
      <c r="L61" s="6" t="s">
        <v>173</v>
      </c>
    </row>
    <row r="62" spans="1:12" x14ac:dyDescent="0.2">
      <c r="A62" s="6" t="s">
        <v>174</v>
      </c>
      <c r="B62" s="6" t="s">
        <v>24</v>
      </c>
      <c r="C62" s="6" t="s">
        <v>175</v>
      </c>
      <c r="D62" s="7">
        <v>7</v>
      </c>
      <c r="E62" s="6" t="s">
        <v>91</v>
      </c>
      <c r="F62" s="6" t="s">
        <v>100</v>
      </c>
      <c r="G62" s="7">
        <v>49</v>
      </c>
      <c r="H62" s="7">
        <v>164</v>
      </c>
      <c r="I62" s="8">
        <v>1</v>
      </c>
      <c r="J62" s="6" t="s">
        <v>34</v>
      </c>
      <c r="K62" s="6" t="str">
        <f t="shared" si="0"/>
        <v>Yes</v>
      </c>
      <c r="L62" s="6" t="s">
        <v>176</v>
      </c>
    </row>
    <row r="63" spans="1:12" x14ac:dyDescent="0.2">
      <c r="A63" s="6" t="s">
        <v>177</v>
      </c>
      <c r="B63" s="6" t="s">
        <v>30</v>
      </c>
      <c r="C63" s="6" t="s">
        <v>175</v>
      </c>
      <c r="D63" s="7">
        <v>7</v>
      </c>
      <c r="E63" s="6" t="s">
        <v>91</v>
      </c>
      <c r="F63" s="6" t="s">
        <v>100</v>
      </c>
      <c r="G63" s="7">
        <v>49</v>
      </c>
      <c r="H63" s="7">
        <v>123</v>
      </c>
      <c r="I63" s="8">
        <v>0</v>
      </c>
      <c r="J63" s="6" t="s">
        <v>27</v>
      </c>
      <c r="K63" s="6" t="str">
        <f t="shared" si="0"/>
        <v>No</v>
      </c>
      <c r="L63" s="6" t="s">
        <v>178</v>
      </c>
    </row>
    <row r="64" spans="1:12" x14ac:dyDescent="0.2">
      <c r="A64" s="6" t="s">
        <v>179</v>
      </c>
      <c r="B64" s="6" t="s">
        <v>24</v>
      </c>
      <c r="C64" s="6" t="s">
        <v>180</v>
      </c>
      <c r="D64" s="7">
        <v>8</v>
      </c>
      <c r="E64" s="6" t="s">
        <v>91</v>
      </c>
      <c r="F64" s="6" t="s">
        <v>92</v>
      </c>
      <c r="G64" s="7">
        <v>53</v>
      </c>
      <c r="H64" s="7">
        <v>199</v>
      </c>
      <c r="I64" s="8">
        <v>0</v>
      </c>
      <c r="J64" s="6" t="s">
        <v>27</v>
      </c>
      <c r="K64" s="6" t="str">
        <f t="shared" si="0"/>
        <v>No</v>
      </c>
      <c r="L64" s="6" t="s">
        <v>181</v>
      </c>
    </row>
    <row r="65" spans="1:12" x14ac:dyDescent="0.2">
      <c r="A65" s="6" t="s">
        <v>182</v>
      </c>
      <c r="B65" s="6" t="s">
        <v>30</v>
      </c>
      <c r="C65" s="6" t="s">
        <v>180</v>
      </c>
      <c r="D65" s="7">
        <v>8</v>
      </c>
      <c r="E65" s="6" t="s">
        <v>91</v>
      </c>
      <c r="F65" s="6" t="s">
        <v>92</v>
      </c>
      <c r="G65" s="7">
        <v>54</v>
      </c>
      <c r="H65" s="7">
        <v>199</v>
      </c>
      <c r="I65" s="8">
        <v>0</v>
      </c>
      <c r="J65" s="6" t="s">
        <v>27</v>
      </c>
      <c r="K65" s="6" t="str">
        <f t="shared" si="0"/>
        <v>No</v>
      </c>
      <c r="L65" s="6" t="s">
        <v>183</v>
      </c>
    </row>
    <row r="66" spans="1:12" x14ac:dyDescent="0.2">
      <c r="A66" s="6" t="s">
        <v>184</v>
      </c>
      <c r="B66" s="6" t="s">
        <v>24</v>
      </c>
      <c r="C66" s="6" t="s">
        <v>180</v>
      </c>
      <c r="D66" s="7">
        <v>8</v>
      </c>
      <c r="E66" s="6" t="s">
        <v>91</v>
      </c>
      <c r="F66" s="6" t="s">
        <v>92</v>
      </c>
      <c r="G66" s="7">
        <v>53</v>
      </c>
      <c r="H66" s="7">
        <v>196</v>
      </c>
      <c r="I66" s="8">
        <v>0</v>
      </c>
      <c r="J66" s="6" t="s">
        <v>27</v>
      </c>
      <c r="K66" s="6" t="str">
        <f t="shared" ref="K66:K129" si="1">IF(I66="","no statement",IF(I66&gt;0.5,"Yes","No"))</f>
        <v>No</v>
      </c>
      <c r="L66" s="6" t="s">
        <v>185</v>
      </c>
    </row>
    <row r="67" spans="1:12" x14ac:dyDescent="0.2">
      <c r="A67" s="6" t="s">
        <v>186</v>
      </c>
      <c r="B67" s="6" t="s">
        <v>30</v>
      </c>
      <c r="C67" s="6" t="s">
        <v>187</v>
      </c>
      <c r="D67" s="7">
        <v>8</v>
      </c>
      <c r="E67" s="6" t="s">
        <v>91</v>
      </c>
      <c r="F67" s="6" t="s">
        <v>100</v>
      </c>
      <c r="G67" s="7">
        <v>52</v>
      </c>
      <c r="H67" s="7">
        <v>199</v>
      </c>
      <c r="I67" s="8">
        <v>0</v>
      </c>
      <c r="J67" s="6" t="s">
        <v>27</v>
      </c>
      <c r="K67" s="6" t="str">
        <f t="shared" si="1"/>
        <v>No</v>
      </c>
      <c r="L67" s="6" t="s">
        <v>188</v>
      </c>
    </row>
    <row r="68" spans="1:12" x14ac:dyDescent="0.2">
      <c r="A68" s="6" t="s">
        <v>189</v>
      </c>
      <c r="B68" s="6" t="s">
        <v>24</v>
      </c>
      <c r="C68" s="6" t="s">
        <v>187</v>
      </c>
      <c r="D68" s="7">
        <v>8</v>
      </c>
      <c r="E68" s="6" t="s">
        <v>91</v>
      </c>
      <c r="F68" s="6" t="s">
        <v>100</v>
      </c>
      <c r="G68" s="7">
        <v>52</v>
      </c>
      <c r="H68" s="7">
        <v>200</v>
      </c>
      <c r="I68" s="8">
        <v>0</v>
      </c>
      <c r="J68" s="6" t="s">
        <v>27</v>
      </c>
      <c r="K68" s="6" t="str">
        <f t="shared" si="1"/>
        <v>No</v>
      </c>
      <c r="L68" s="6" t="s">
        <v>190</v>
      </c>
    </row>
    <row r="69" spans="1:12" x14ac:dyDescent="0.2">
      <c r="A69" s="6" t="s">
        <v>191</v>
      </c>
      <c r="B69" s="6" t="s">
        <v>30</v>
      </c>
      <c r="C69" s="6" t="s">
        <v>192</v>
      </c>
      <c r="D69" s="7">
        <v>9</v>
      </c>
      <c r="E69" s="6" t="s">
        <v>91</v>
      </c>
      <c r="F69" s="6" t="s">
        <v>92</v>
      </c>
      <c r="G69" s="7">
        <v>56</v>
      </c>
      <c r="H69" s="7">
        <v>163</v>
      </c>
      <c r="I69" s="8">
        <v>1</v>
      </c>
      <c r="J69" s="6" t="s">
        <v>34</v>
      </c>
      <c r="K69" s="6" t="str">
        <f t="shared" si="1"/>
        <v>Yes</v>
      </c>
      <c r="L69" s="6" t="s">
        <v>193</v>
      </c>
    </row>
    <row r="70" spans="1:12" x14ac:dyDescent="0.2">
      <c r="A70" s="6" t="s">
        <v>194</v>
      </c>
      <c r="B70" s="6" t="s">
        <v>24</v>
      </c>
      <c r="C70" s="6" t="s">
        <v>192</v>
      </c>
      <c r="D70" s="7">
        <v>9</v>
      </c>
      <c r="E70" s="6" t="s">
        <v>91</v>
      </c>
      <c r="F70" s="6" t="s">
        <v>92</v>
      </c>
      <c r="G70" s="7">
        <v>57</v>
      </c>
      <c r="H70" s="7">
        <v>132</v>
      </c>
      <c r="I70" s="8">
        <v>0</v>
      </c>
      <c r="J70" s="6" t="s">
        <v>27</v>
      </c>
      <c r="K70" s="6" t="str">
        <f t="shared" si="1"/>
        <v>No</v>
      </c>
      <c r="L70" s="6" t="s">
        <v>195</v>
      </c>
    </row>
    <row r="71" spans="1:12" x14ac:dyDescent="0.2">
      <c r="A71" s="6" t="s">
        <v>196</v>
      </c>
      <c r="B71" s="6" t="s">
        <v>24</v>
      </c>
      <c r="C71" s="6" t="s">
        <v>192</v>
      </c>
      <c r="D71" s="7">
        <v>9</v>
      </c>
      <c r="E71" s="6" t="s">
        <v>91</v>
      </c>
      <c r="F71" s="6" t="s">
        <v>92</v>
      </c>
      <c r="G71" s="7">
        <v>56</v>
      </c>
      <c r="H71" s="7">
        <v>189</v>
      </c>
      <c r="I71" s="8">
        <v>0</v>
      </c>
      <c r="J71" s="6" t="s">
        <v>27</v>
      </c>
      <c r="K71" s="6" t="str">
        <f t="shared" si="1"/>
        <v>No</v>
      </c>
      <c r="L71" s="6" t="s">
        <v>197</v>
      </c>
    </row>
    <row r="72" spans="1:12" x14ac:dyDescent="0.2">
      <c r="A72" s="6" t="s">
        <v>198</v>
      </c>
      <c r="B72" s="6" t="s">
        <v>30</v>
      </c>
      <c r="C72" s="6" t="s">
        <v>199</v>
      </c>
      <c r="D72" s="7">
        <v>9</v>
      </c>
      <c r="E72" s="6" t="s">
        <v>91</v>
      </c>
      <c r="F72" s="6" t="s">
        <v>100</v>
      </c>
      <c r="G72" s="7">
        <v>55</v>
      </c>
      <c r="H72" s="7">
        <v>182</v>
      </c>
      <c r="I72" s="8">
        <v>0</v>
      </c>
      <c r="J72" s="6" t="s">
        <v>27</v>
      </c>
      <c r="K72" s="6" t="str">
        <f t="shared" si="1"/>
        <v>No</v>
      </c>
      <c r="L72" s="6" t="s">
        <v>200</v>
      </c>
    </row>
    <row r="73" spans="1:12" x14ac:dyDescent="0.2">
      <c r="A73" s="6" t="s">
        <v>201</v>
      </c>
      <c r="B73" s="6" t="s">
        <v>24</v>
      </c>
      <c r="C73" s="6" t="s">
        <v>199</v>
      </c>
      <c r="D73" s="7">
        <v>9</v>
      </c>
      <c r="E73" s="6" t="s">
        <v>91</v>
      </c>
      <c r="F73" s="6" t="s">
        <v>100</v>
      </c>
      <c r="G73" s="7">
        <v>55</v>
      </c>
      <c r="H73" s="7">
        <v>194</v>
      </c>
      <c r="I73" s="8">
        <v>0</v>
      </c>
      <c r="J73" s="6" t="s">
        <v>27</v>
      </c>
      <c r="K73" s="6" t="str">
        <f t="shared" si="1"/>
        <v>No</v>
      </c>
      <c r="L73" s="6" t="s">
        <v>202</v>
      </c>
    </row>
    <row r="74" spans="1:12" x14ac:dyDescent="0.2">
      <c r="A74" s="6" t="s">
        <v>203</v>
      </c>
      <c r="B74" s="6" t="s">
        <v>24</v>
      </c>
      <c r="C74" s="6" t="s">
        <v>204</v>
      </c>
      <c r="D74" s="7">
        <v>10</v>
      </c>
      <c r="E74" s="6" t="s">
        <v>91</v>
      </c>
      <c r="F74" s="6" t="s">
        <v>92</v>
      </c>
      <c r="G74" s="7">
        <v>60</v>
      </c>
      <c r="H74" s="7">
        <v>122</v>
      </c>
      <c r="I74" s="8">
        <v>0</v>
      </c>
      <c r="J74" s="6" t="s">
        <v>27</v>
      </c>
      <c r="K74" s="6" t="str">
        <f t="shared" si="1"/>
        <v>No</v>
      </c>
      <c r="L74" s="6" t="s">
        <v>205</v>
      </c>
    </row>
    <row r="75" spans="1:12" x14ac:dyDescent="0.2">
      <c r="A75" s="6" t="s">
        <v>206</v>
      </c>
      <c r="B75" s="6" t="s">
        <v>54</v>
      </c>
      <c r="C75" s="6" t="s">
        <v>204</v>
      </c>
      <c r="D75" s="7">
        <v>10</v>
      </c>
      <c r="E75" s="6" t="s">
        <v>91</v>
      </c>
      <c r="F75" s="6" t="s">
        <v>92</v>
      </c>
      <c r="G75" s="7">
        <v>62</v>
      </c>
      <c r="H75" s="7">
        <v>180</v>
      </c>
      <c r="I75" s="8">
        <v>1</v>
      </c>
      <c r="J75" s="6" t="s">
        <v>34</v>
      </c>
      <c r="K75" s="6" t="str">
        <f t="shared" si="1"/>
        <v>Yes</v>
      </c>
      <c r="L75" s="6" t="s">
        <v>207</v>
      </c>
    </row>
    <row r="76" spans="1:12" x14ac:dyDescent="0.2">
      <c r="A76" s="6" t="s">
        <v>208</v>
      </c>
      <c r="B76" s="6" t="s">
        <v>24</v>
      </c>
      <c r="C76" s="6" t="s">
        <v>204</v>
      </c>
      <c r="D76" s="7">
        <v>10</v>
      </c>
      <c r="E76" s="6" t="s">
        <v>91</v>
      </c>
      <c r="F76" s="6" t="s">
        <v>92</v>
      </c>
      <c r="G76" s="7">
        <v>60</v>
      </c>
      <c r="H76" s="7">
        <v>200</v>
      </c>
      <c r="I76" s="8">
        <v>0</v>
      </c>
      <c r="J76" s="6" t="s">
        <v>27</v>
      </c>
      <c r="K76" s="6" t="str">
        <f t="shared" si="1"/>
        <v>No</v>
      </c>
      <c r="L76" s="6" t="s">
        <v>209</v>
      </c>
    </row>
    <row r="77" spans="1:12" x14ac:dyDescent="0.2">
      <c r="A77" s="6" t="s">
        <v>210</v>
      </c>
      <c r="B77" s="6" t="s">
        <v>30</v>
      </c>
      <c r="C77" s="6" t="s">
        <v>204</v>
      </c>
      <c r="D77" s="7">
        <v>10</v>
      </c>
      <c r="E77" s="6" t="s">
        <v>91</v>
      </c>
      <c r="F77" s="6" t="s">
        <v>92</v>
      </c>
      <c r="G77" s="7">
        <v>61</v>
      </c>
      <c r="H77" s="7">
        <v>200</v>
      </c>
      <c r="I77" s="8">
        <v>0</v>
      </c>
      <c r="J77" s="6" t="s">
        <v>27</v>
      </c>
      <c r="K77" s="6" t="str">
        <f t="shared" si="1"/>
        <v>No</v>
      </c>
      <c r="L77" s="6" t="s">
        <v>211</v>
      </c>
    </row>
    <row r="78" spans="1:12" x14ac:dyDescent="0.2">
      <c r="A78" s="6" t="s">
        <v>212</v>
      </c>
      <c r="B78" s="6" t="s">
        <v>30</v>
      </c>
      <c r="C78" s="6" t="s">
        <v>204</v>
      </c>
      <c r="D78" s="7">
        <v>10</v>
      </c>
      <c r="E78" s="6" t="s">
        <v>91</v>
      </c>
      <c r="F78" s="6" t="s">
        <v>92</v>
      </c>
      <c r="G78" s="7">
        <v>61</v>
      </c>
      <c r="H78" s="7">
        <v>200</v>
      </c>
      <c r="I78" s="8">
        <v>0</v>
      </c>
      <c r="J78" s="6" t="s">
        <v>27</v>
      </c>
      <c r="K78" s="6" t="str">
        <f t="shared" si="1"/>
        <v>No</v>
      </c>
      <c r="L78" s="6" t="s">
        <v>213</v>
      </c>
    </row>
    <row r="79" spans="1:12" x14ac:dyDescent="0.2">
      <c r="A79" s="6" t="s">
        <v>214</v>
      </c>
      <c r="B79" s="6" t="s">
        <v>24</v>
      </c>
      <c r="C79" s="6" t="s">
        <v>215</v>
      </c>
      <c r="D79" s="7">
        <v>10</v>
      </c>
      <c r="E79" s="6" t="s">
        <v>91</v>
      </c>
      <c r="F79" s="6" t="s">
        <v>100</v>
      </c>
      <c r="G79" s="7">
        <v>59</v>
      </c>
      <c r="H79" s="7">
        <v>198</v>
      </c>
      <c r="I79" s="8">
        <v>0</v>
      </c>
      <c r="J79" s="6" t="s">
        <v>27</v>
      </c>
      <c r="K79" s="6" t="str">
        <f t="shared" si="1"/>
        <v>No</v>
      </c>
      <c r="L79" s="6" t="s">
        <v>216</v>
      </c>
    </row>
    <row r="80" spans="1:12" x14ac:dyDescent="0.2">
      <c r="A80" s="6" t="s">
        <v>217</v>
      </c>
      <c r="B80" s="6" t="s">
        <v>30</v>
      </c>
      <c r="C80" s="6" t="s">
        <v>215</v>
      </c>
      <c r="D80" s="7">
        <v>10</v>
      </c>
      <c r="E80" s="6" t="s">
        <v>91</v>
      </c>
      <c r="F80" s="6" t="s">
        <v>100</v>
      </c>
      <c r="G80" s="7">
        <v>58</v>
      </c>
      <c r="H80" s="7">
        <v>166</v>
      </c>
      <c r="I80" s="8">
        <v>0.38836774230003401</v>
      </c>
      <c r="J80" s="6" t="s">
        <v>59</v>
      </c>
      <c r="K80" s="6" t="str">
        <f t="shared" si="1"/>
        <v>No</v>
      </c>
      <c r="L80" s="6" t="s">
        <v>218</v>
      </c>
    </row>
    <row r="81" spans="1:12" x14ac:dyDescent="0.2">
      <c r="A81" s="6" t="s">
        <v>219</v>
      </c>
      <c r="B81" s="6" t="s">
        <v>57</v>
      </c>
      <c r="C81" s="6" t="s">
        <v>215</v>
      </c>
      <c r="D81" s="7">
        <v>10</v>
      </c>
      <c r="E81" s="6" t="s">
        <v>91</v>
      </c>
      <c r="F81" s="6" t="s">
        <v>100</v>
      </c>
      <c r="G81" s="7">
        <v>58</v>
      </c>
      <c r="H81" s="7">
        <v>171</v>
      </c>
      <c r="I81" s="8">
        <v>0</v>
      </c>
      <c r="J81" s="6" t="s">
        <v>27</v>
      </c>
      <c r="K81" s="6" t="str">
        <f t="shared" si="1"/>
        <v>No</v>
      </c>
      <c r="L81" s="6" t="s">
        <v>220</v>
      </c>
    </row>
    <row r="82" spans="1:12" x14ac:dyDescent="0.2">
      <c r="A82" s="6" t="s">
        <v>221</v>
      </c>
      <c r="B82" s="6" t="s">
        <v>30</v>
      </c>
      <c r="C82" s="6" t="s">
        <v>222</v>
      </c>
      <c r="D82" s="7">
        <v>11</v>
      </c>
      <c r="E82" s="6" t="s">
        <v>91</v>
      </c>
      <c r="F82" s="6" t="s">
        <v>92</v>
      </c>
      <c r="G82" s="7">
        <v>64</v>
      </c>
      <c r="H82" s="7">
        <v>198</v>
      </c>
      <c r="I82" s="8">
        <v>0</v>
      </c>
      <c r="J82" s="6" t="s">
        <v>27</v>
      </c>
      <c r="K82" s="6" t="str">
        <f t="shared" si="1"/>
        <v>No</v>
      </c>
      <c r="L82" s="6" t="s">
        <v>223</v>
      </c>
    </row>
    <row r="83" spans="1:12" x14ac:dyDescent="0.2">
      <c r="A83" s="6" t="s">
        <v>224</v>
      </c>
      <c r="B83" s="6" t="s">
        <v>30</v>
      </c>
      <c r="C83" s="6" t="s">
        <v>222</v>
      </c>
      <c r="D83" s="7">
        <v>11</v>
      </c>
      <c r="E83" s="6" t="s">
        <v>91</v>
      </c>
      <c r="F83" s="6" t="s">
        <v>92</v>
      </c>
      <c r="G83" s="7">
        <v>65</v>
      </c>
      <c r="H83" s="7">
        <v>200</v>
      </c>
      <c r="I83" s="8">
        <v>1</v>
      </c>
      <c r="J83" s="6" t="s">
        <v>34</v>
      </c>
      <c r="K83" s="6" t="str">
        <f t="shared" si="1"/>
        <v>Yes</v>
      </c>
      <c r="L83" s="6" t="s">
        <v>225</v>
      </c>
    </row>
    <row r="84" spans="1:12" x14ac:dyDescent="0.2">
      <c r="A84" s="6" t="s">
        <v>226</v>
      </c>
      <c r="B84" s="6" t="s">
        <v>24</v>
      </c>
      <c r="C84" s="6" t="s">
        <v>222</v>
      </c>
      <c r="D84" s="7">
        <v>11</v>
      </c>
      <c r="E84" s="6" t="s">
        <v>91</v>
      </c>
      <c r="F84" s="6" t="s">
        <v>92</v>
      </c>
      <c r="G84" s="7">
        <v>64</v>
      </c>
      <c r="H84" s="7">
        <v>168</v>
      </c>
      <c r="I84" s="8">
        <v>0</v>
      </c>
      <c r="J84" s="6" t="s">
        <v>59</v>
      </c>
      <c r="K84" s="6" t="str">
        <f t="shared" si="1"/>
        <v>No</v>
      </c>
      <c r="L84" s="6" t="s">
        <v>227</v>
      </c>
    </row>
    <row r="85" spans="1:12" x14ac:dyDescent="0.2">
      <c r="A85" s="6" t="s">
        <v>228</v>
      </c>
      <c r="B85" s="6" t="s">
        <v>24</v>
      </c>
      <c r="C85" s="6" t="s">
        <v>222</v>
      </c>
      <c r="D85" s="7">
        <v>11</v>
      </c>
      <c r="E85" s="6" t="s">
        <v>91</v>
      </c>
      <c r="F85" s="6" t="s">
        <v>92</v>
      </c>
      <c r="G85" s="7">
        <v>65</v>
      </c>
      <c r="H85" s="7">
        <v>185</v>
      </c>
      <c r="I85" s="8">
        <v>0</v>
      </c>
      <c r="J85" s="6" t="s">
        <v>27</v>
      </c>
      <c r="K85" s="6" t="str">
        <f t="shared" si="1"/>
        <v>No</v>
      </c>
      <c r="L85" s="6" t="s">
        <v>229</v>
      </c>
    </row>
    <row r="86" spans="1:12" x14ac:dyDescent="0.2">
      <c r="A86" s="6" t="s">
        <v>230</v>
      </c>
      <c r="B86" s="6" t="s">
        <v>24</v>
      </c>
      <c r="C86" s="6" t="s">
        <v>231</v>
      </c>
      <c r="D86" s="7">
        <v>11</v>
      </c>
      <c r="E86" s="6" t="s">
        <v>91</v>
      </c>
      <c r="F86" s="6" t="s">
        <v>100</v>
      </c>
      <c r="G86" s="7">
        <v>63</v>
      </c>
      <c r="H86" s="7">
        <v>149</v>
      </c>
      <c r="I86" s="8">
        <v>0</v>
      </c>
      <c r="J86" s="6" t="s">
        <v>27</v>
      </c>
      <c r="K86" s="6" t="str">
        <f t="shared" si="1"/>
        <v>No</v>
      </c>
      <c r="L86" s="6" t="s">
        <v>232</v>
      </c>
    </row>
    <row r="87" spans="1:12" x14ac:dyDescent="0.2">
      <c r="A87" s="6" t="s">
        <v>233</v>
      </c>
      <c r="B87" s="6" t="s">
        <v>30</v>
      </c>
      <c r="C87" s="6" t="s">
        <v>231</v>
      </c>
      <c r="D87" s="7">
        <v>11</v>
      </c>
      <c r="E87" s="6" t="s">
        <v>91</v>
      </c>
      <c r="F87" s="6" t="s">
        <v>100</v>
      </c>
      <c r="G87" s="7">
        <v>63</v>
      </c>
      <c r="H87" s="7">
        <v>183</v>
      </c>
      <c r="I87" s="8">
        <v>1</v>
      </c>
      <c r="J87" s="6" t="s">
        <v>34</v>
      </c>
      <c r="K87" s="6" t="str">
        <f t="shared" si="1"/>
        <v>Yes</v>
      </c>
      <c r="L87" s="6" t="s">
        <v>234</v>
      </c>
    </row>
    <row r="88" spans="1:12" x14ac:dyDescent="0.2">
      <c r="A88" s="6" t="s">
        <v>235</v>
      </c>
      <c r="B88" s="6" t="s">
        <v>24</v>
      </c>
      <c r="C88" s="6" t="s">
        <v>236</v>
      </c>
      <c r="D88" s="7">
        <v>12</v>
      </c>
      <c r="E88" s="6" t="s">
        <v>91</v>
      </c>
      <c r="F88" s="6" t="s">
        <v>92</v>
      </c>
      <c r="G88" s="7">
        <v>67</v>
      </c>
      <c r="H88" s="7">
        <v>193</v>
      </c>
      <c r="I88" s="8">
        <v>0</v>
      </c>
      <c r="J88" s="6" t="s">
        <v>27</v>
      </c>
      <c r="K88" s="6" t="str">
        <f t="shared" si="1"/>
        <v>No</v>
      </c>
      <c r="L88" s="6" t="s">
        <v>237</v>
      </c>
    </row>
    <row r="89" spans="1:12" x14ac:dyDescent="0.2">
      <c r="A89" s="6" t="s">
        <v>238</v>
      </c>
      <c r="B89" s="6" t="s">
        <v>30</v>
      </c>
      <c r="C89" s="6" t="s">
        <v>236</v>
      </c>
      <c r="D89" s="7">
        <v>12</v>
      </c>
      <c r="E89" s="6" t="s">
        <v>91</v>
      </c>
      <c r="F89" s="6" t="s">
        <v>92</v>
      </c>
      <c r="G89" s="7">
        <v>67</v>
      </c>
      <c r="H89" s="7">
        <v>165</v>
      </c>
      <c r="I89" s="8">
        <v>0</v>
      </c>
      <c r="J89" s="6" t="s">
        <v>27</v>
      </c>
      <c r="K89" s="6" t="str">
        <f t="shared" si="1"/>
        <v>No</v>
      </c>
      <c r="L89" s="6" t="s">
        <v>239</v>
      </c>
    </row>
    <row r="90" spans="1:12" x14ac:dyDescent="0.2">
      <c r="A90" s="6" t="s">
        <v>240</v>
      </c>
      <c r="B90" s="6" t="s">
        <v>24</v>
      </c>
      <c r="C90" s="6" t="s">
        <v>236</v>
      </c>
      <c r="D90" s="7">
        <v>12</v>
      </c>
      <c r="E90" s="6" t="s">
        <v>91</v>
      </c>
      <c r="F90" s="6" t="s">
        <v>92</v>
      </c>
      <c r="G90" s="7">
        <v>68</v>
      </c>
      <c r="H90" s="7">
        <v>201</v>
      </c>
      <c r="I90" s="8">
        <v>0</v>
      </c>
      <c r="J90" s="6" t="s">
        <v>27</v>
      </c>
      <c r="K90" s="6" t="str">
        <f t="shared" si="1"/>
        <v>No</v>
      </c>
      <c r="L90" s="6" t="s">
        <v>241</v>
      </c>
    </row>
    <row r="91" spans="1:12" x14ac:dyDescent="0.2">
      <c r="A91" s="6" t="s">
        <v>242</v>
      </c>
      <c r="B91" s="6" t="s">
        <v>54</v>
      </c>
      <c r="C91" s="6" t="s">
        <v>243</v>
      </c>
      <c r="D91" s="7">
        <v>12</v>
      </c>
      <c r="E91" s="6" t="s">
        <v>91</v>
      </c>
      <c r="F91" s="6" t="s">
        <v>100</v>
      </c>
      <c r="G91" s="7">
        <v>66</v>
      </c>
      <c r="H91" s="7">
        <v>210</v>
      </c>
      <c r="I91" s="8">
        <v>1</v>
      </c>
      <c r="J91" s="6" t="s">
        <v>34</v>
      </c>
      <c r="K91" s="6" t="str">
        <f t="shared" si="1"/>
        <v>Yes</v>
      </c>
      <c r="L91" s="6" t="s">
        <v>244</v>
      </c>
    </row>
    <row r="92" spans="1:12" x14ac:dyDescent="0.2">
      <c r="A92" s="6" t="s">
        <v>245</v>
      </c>
      <c r="B92" s="6" t="s">
        <v>24</v>
      </c>
      <c r="C92" s="6" t="s">
        <v>243</v>
      </c>
      <c r="D92" s="7">
        <v>12</v>
      </c>
      <c r="E92" s="6" t="s">
        <v>91</v>
      </c>
      <c r="F92" s="6" t="s">
        <v>100</v>
      </c>
      <c r="G92" s="7">
        <v>66</v>
      </c>
      <c r="H92" s="7">
        <v>198</v>
      </c>
      <c r="I92" s="8">
        <v>0</v>
      </c>
      <c r="J92" s="6" t="s">
        <v>27</v>
      </c>
      <c r="K92" s="6" t="str">
        <f t="shared" si="1"/>
        <v>No</v>
      </c>
      <c r="L92" s="6" t="s">
        <v>246</v>
      </c>
    </row>
    <row r="93" spans="1:12" x14ac:dyDescent="0.2">
      <c r="A93" s="6" t="s">
        <v>247</v>
      </c>
      <c r="B93" s="6" t="s">
        <v>24</v>
      </c>
      <c r="C93" s="6" t="s">
        <v>248</v>
      </c>
      <c r="D93" s="7">
        <v>13</v>
      </c>
      <c r="E93" s="6" t="s">
        <v>91</v>
      </c>
      <c r="F93" s="6" t="s">
        <v>92</v>
      </c>
      <c r="G93" s="7">
        <v>71</v>
      </c>
      <c r="H93" s="7">
        <v>163</v>
      </c>
      <c r="I93" s="8">
        <v>0</v>
      </c>
      <c r="J93" s="6" t="s">
        <v>27</v>
      </c>
      <c r="K93" s="6" t="str">
        <f t="shared" si="1"/>
        <v>No</v>
      </c>
      <c r="L93" s="6" t="s">
        <v>249</v>
      </c>
    </row>
    <row r="94" spans="1:12" x14ac:dyDescent="0.2">
      <c r="A94" s="6" t="s">
        <v>250</v>
      </c>
      <c r="B94" s="6" t="s">
        <v>30</v>
      </c>
      <c r="C94" s="6" t="s">
        <v>248</v>
      </c>
      <c r="D94" s="7">
        <v>13</v>
      </c>
      <c r="E94" s="6" t="s">
        <v>91</v>
      </c>
      <c r="F94" s="6" t="s">
        <v>92</v>
      </c>
      <c r="G94" s="7">
        <v>71</v>
      </c>
      <c r="H94" s="7">
        <v>195</v>
      </c>
      <c r="I94" s="8">
        <v>1</v>
      </c>
      <c r="J94" s="6" t="s">
        <v>34</v>
      </c>
      <c r="K94" s="6" t="str">
        <f t="shared" si="1"/>
        <v>Yes</v>
      </c>
      <c r="L94" s="6" t="s">
        <v>251</v>
      </c>
    </row>
    <row r="95" spans="1:12" x14ac:dyDescent="0.2">
      <c r="A95" s="6" t="s">
        <v>252</v>
      </c>
      <c r="B95" s="6" t="s">
        <v>30</v>
      </c>
      <c r="C95" s="6" t="s">
        <v>248</v>
      </c>
      <c r="D95" s="7">
        <v>13</v>
      </c>
      <c r="E95" s="6" t="s">
        <v>91</v>
      </c>
      <c r="F95" s="6" t="s">
        <v>92</v>
      </c>
      <c r="G95" s="7">
        <v>70</v>
      </c>
      <c r="H95" s="7">
        <v>183</v>
      </c>
      <c r="I95" s="8">
        <v>0</v>
      </c>
      <c r="J95" s="6" t="s">
        <v>27</v>
      </c>
      <c r="K95" s="6" t="str">
        <f t="shared" si="1"/>
        <v>No</v>
      </c>
      <c r="L95" s="6" t="s">
        <v>253</v>
      </c>
    </row>
    <row r="96" spans="1:12" x14ac:dyDescent="0.2">
      <c r="A96" s="6" t="s">
        <v>254</v>
      </c>
      <c r="B96" s="6" t="s">
        <v>24</v>
      </c>
      <c r="C96" s="6" t="s">
        <v>248</v>
      </c>
      <c r="D96" s="7">
        <v>13</v>
      </c>
      <c r="E96" s="6" t="s">
        <v>91</v>
      </c>
      <c r="F96" s="6" t="s">
        <v>92</v>
      </c>
      <c r="G96" s="7">
        <v>70</v>
      </c>
      <c r="H96" s="7">
        <v>176</v>
      </c>
      <c r="I96" s="8">
        <v>0</v>
      </c>
      <c r="J96" s="6" t="s">
        <v>27</v>
      </c>
      <c r="K96" s="6" t="str">
        <f t="shared" si="1"/>
        <v>No</v>
      </c>
      <c r="L96" s="6" t="s">
        <v>255</v>
      </c>
    </row>
    <row r="97" spans="1:12" x14ac:dyDescent="0.2">
      <c r="A97" s="6" t="s">
        <v>256</v>
      </c>
      <c r="B97" s="6" t="s">
        <v>30</v>
      </c>
      <c r="C97" s="6" t="s">
        <v>257</v>
      </c>
      <c r="D97" s="7">
        <v>13</v>
      </c>
      <c r="E97" s="6" t="s">
        <v>91</v>
      </c>
      <c r="F97" s="6" t="s">
        <v>100</v>
      </c>
      <c r="G97" s="7">
        <v>69</v>
      </c>
      <c r="H97" s="7">
        <v>180</v>
      </c>
      <c r="I97" s="8">
        <v>0</v>
      </c>
      <c r="J97" s="6" t="s">
        <v>27</v>
      </c>
      <c r="K97" s="6" t="str">
        <f t="shared" si="1"/>
        <v>No</v>
      </c>
      <c r="L97" s="6" t="s">
        <v>258</v>
      </c>
    </row>
    <row r="98" spans="1:12" x14ac:dyDescent="0.2">
      <c r="A98" s="6" t="s">
        <v>259</v>
      </c>
      <c r="B98" s="6" t="s">
        <v>24</v>
      </c>
      <c r="C98" s="6" t="s">
        <v>257</v>
      </c>
      <c r="D98" s="7">
        <v>13</v>
      </c>
      <c r="E98" s="6" t="s">
        <v>91</v>
      </c>
      <c r="F98" s="6" t="s">
        <v>100</v>
      </c>
      <c r="G98" s="7">
        <v>69</v>
      </c>
      <c r="H98" s="7">
        <v>199</v>
      </c>
      <c r="I98" s="8">
        <v>0</v>
      </c>
      <c r="J98" s="6" t="s">
        <v>27</v>
      </c>
      <c r="K98" s="6" t="str">
        <f t="shared" si="1"/>
        <v>No</v>
      </c>
      <c r="L98" s="6" t="s">
        <v>260</v>
      </c>
    </row>
    <row r="99" spans="1:12" x14ac:dyDescent="0.2">
      <c r="A99" s="6" t="s">
        <v>261</v>
      </c>
      <c r="B99" s="6" t="s">
        <v>30</v>
      </c>
      <c r="C99" s="6" t="s">
        <v>262</v>
      </c>
      <c r="D99" s="7">
        <v>14</v>
      </c>
      <c r="E99" s="6" t="s">
        <v>91</v>
      </c>
      <c r="F99" s="6" t="s">
        <v>92</v>
      </c>
      <c r="G99" s="7">
        <v>73</v>
      </c>
      <c r="H99" s="7">
        <v>186</v>
      </c>
      <c r="I99" s="8">
        <v>0</v>
      </c>
      <c r="J99" s="6" t="s">
        <v>27</v>
      </c>
      <c r="K99" s="6" t="str">
        <f t="shared" si="1"/>
        <v>No</v>
      </c>
      <c r="L99" s="6" t="s">
        <v>263</v>
      </c>
    </row>
    <row r="100" spans="1:12" x14ac:dyDescent="0.2">
      <c r="A100" s="6" t="s">
        <v>264</v>
      </c>
      <c r="B100" s="6" t="s">
        <v>24</v>
      </c>
      <c r="C100" s="6" t="s">
        <v>262</v>
      </c>
      <c r="D100" s="7">
        <v>14</v>
      </c>
      <c r="E100" s="6" t="s">
        <v>91</v>
      </c>
      <c r="F100" s="6" t="s">
        <v>92</v>
      </c>
      <c r="G100" s="7">
        <v>74</v>
      </c>
      <c r="H100" s="7">
        <v>198</v>
      </c>
      <c r="I100" s="8">
        <v>1</v>
      </c>
      <c r="J100" s="6" t="s">
        <v>34</v>
      </c>
      <c r="K100" s="6" t="str">
        <f t="shared" si="1"/>
        <v>Yes</v>
      </c>
      <c r="L100" s="6" t="s">
        <v>265</v>
      </c>
    </row>
    <row r="101" spans="1:12" x14ac:dyDescent="0.2">
      <c r="A101" s="6" t="s">
        <v>266</v>
      </c>
      <c r="B101" s="6" t="s">
        <v>30</v>
      </c>
      <c r="C101" s="6" t="s">
        <v>262</v>
      </c>
      <c r="D101" s="7">
        <v>14</v>
      </c>
      <c r="E101" s="6" t="s">
        <v>91</v>
      </c>
      <c r="F101" s="6" t="s">
        <v>92</v>
      </c>
      <c r="G101" s="7">
        <v>73</v>
      </c>
      <c r="H101" s="7">
        <v>178</v>
      </c>
      <c r="I101" s="8">
        <v>1</v>
      </c>
      <c r="J101" s="6" t="s">
        <v>34</v>
      </c>
      <c r="K101" s="6" t="str">
        <f t="shared" si="1"/>
        <v>Yes</v>
      </c>
      <c r="L101" s="6" t="s">
        <v>267</v>
      </c>
    </row>
    <row r="102" spans="1:12" x14ac:dyDescent="0.2">
      <c r="A102" s="6" t="s">
        <v>268</v>
      </c>
      <c r="B102" s="6" t="s">
        <v>30</v>
      </c>
      <c r="C102" s="6" t="s">
        <v>269</v>
      </c>
      <c r="D102" s="7">
        <v>14</v>
      </c>
      <c r="E102" s="6" t="s">
        <v>91</v>
      </c>
      <c r="F102" s="6" t="s">
        <v>100</v>
      </c>
      <c r="G102" s="7">
        <v>72</v>
      </c>
      <c r="H102" s="7">
        <v>186</v>
      </c>
      <c r="I102" s="8">
        <v>0</v>
      </c>
      <c r="J102" s="6" t="s">
        <v>27</v>
      </c>
      <c r="K102" s="6" t="str">
        <f t="shared" si="1"/>
        <v>No</v>
      </c>
      <c r="L102" s="6" t="s">
        <v>270</v>
      </c>
    </row>
    <row r="103" spans="1:12" x14ac:dyDescent="0.2">
      <c r="A103" s="6" t="s">
        <v>271</v>
      </c>
      <c r="B103" s="6" t="s">
        <v>24</v>
      </c>
      <c r="C103" s="6" t="s">
        <v>269</v>
      </c>
      <c r="D103" s="7">
        <v>14</v>
      </c>
      <c r="E103" s="6" t="s">
        <v>91</v>
      </c>
      <c r="F103" s="6" t="s">
        <v>100</v>
      </c>
      <c r="G103" s="7">
        <v>72</v>
      </c>
      <c r="H103" s="7">
        <v>179</v>
      </c>
      <c r="I103" s="8">
        <v>1</v>
      </c>
      <c r="J103" s="6" t="s">
        <v>34</v>
      </c>
      <c r="K103" s="6" t="str">
        <f t="shared" si="1"/>
        <v>Yes</v>
      </c>
      <c r="L103" s="6" t="s">
        <v>272</v>
      </c>
    </row>
    <row r="104" spans="1:12" x14ac:dyDescent="0.2">
      <c r="A104" s="6" t="s">
        <v>273</v>
      </c>
      <c r="B104" s="6" t="s">
        <v>30</v>
      </c>
      <c r="C104" s="6" t="s">
        <v>274</v>
      </c>
      <c r="D104" s="7">
        <v>15</v>
      </c>
      <c r="E104" s="6" t="s">
        <v>91</v>
      </c>
      <c r="F104" s="6" t="s">
        <v>92</v>
      </c>
      <c r="G104" s="7">
        <v>76</v>
      </c>
      <c r="H104" s="7">
        <v>167</v>
      </c>
      <c r="I104" s="8">
        <v>1</v>
      </c>
      <c r="J104" s="6" t="s">
        <v>34</v>
      </c>
      <c r="K104" s="6" t="str">
        <f t="shared" si="1"/>
        <v>Yes</v>
      </c>
      <c r="L104" s="6" t="s">
        <v>275</v>
      </c>
    </row>
    <row r="105" spans="1:12" x14ac:dyDescent="0.2">
      <c r="A105" s="6" t="s">
        <v>276</v>
      </c>
      <c r="B105" s="6" t="s">
        <v>30</v>
      </c>
      <c r="C105" s="6" t="s">
        <v>274</v>
      </c>
      <c r="D105" s="7">
        <v>15</v>
      </c>
      <c r="E105" s="6" t="s">
        <v>91</v>
      </c>
      <c r="F105" s="6" t="s">
        <v>92</v>
      </c>
      <c r="G105" s="7">
        <v>76</v>
      </c>
      <c r="H105" s="7">
        <v>198</v>
      </c>
      <c r="I105" s="8">
        <v>0</v>
      </c>
      <c r="J105" s="6" t="s">
        <v>27</v>
      </c>
      <c r="K105" s="6" t="str">
        <f t="shared" si="1"/>
        <v>No</v>
      </c>
      <c r="L105" s="6" t="s">
        <v>277</v>
      </c>
    </row>
    <row r="106" spans="1:12" x14ac:dyDescent="0.2">
      <c r="A106" s="6" t="s">
        <v>278</v>
      </c>
      <c r="B106" s="6" t="s">
        <v>30</v>
      </c>
      <c r="C106" s="6" t="s">
        <v>279</v>
      </c>
      <c r="D106" s="7">
        <v>15</v>
      </c>
      <c r="E106" s="6" t="s">
        <v>91</v>
      </c>
      <c r="F106" s="6" t="s">
        <v>100</v>
      </c>
      <c r="G106" s="7">
        <v>75</v>
      </c>
      <c r="H106" s="7">
        <v>188</v>
      </c>
      <c r="I106" s="8">
        <v>0</v>
      </c>
      <c r="J106" s="6" t="s">
        <v>27</v>
      </c>
      <c r="K106" s="6" t="str">
        <f t="shared" si="1"/>
        <v>No</v>
      </c>
      <c r="L106" s="6" t="s">
        <v>280</v>
      </c>
    </row>
    <row r="107" spans="1:12" x14ac:dyDescent="0.2">
      <c r="A107" s="6" t="s">
        <v>281</v>
      </c>
      <c r="B107" s="6" t="s">
        <v>24</v>
      </c>
      <c r="C107" s="6" t="s">
        <v>279</v>
      </c>
      <c r="D107" s="7">
        <v>15</v>
      </c>
      <c r="E107" s="6" t="s">
        <v>91</v>
      </c>
      <c r="F107" s="6" t="s">
        <v>100</v>
      </c>
      <c r="G107" s="7">
        <v>75</v>
      </c>
      <c r="H107" s="7">
        <v>194</v>
      </c>
      <c r="I107" s="8">
        <v>1</v>
      </c>
      <c r="J107" s="6" t="s">
        <v>34</v>
      </c>
      <c r="K107" s="6" t="str">
        <f t="shared" si="1"/>
        <v>Yes</v>
      </c>
      <c r="L107" s="6" t="s">
        <v>282</v>
      </c>
    </row>
    <row r="108" spans="1:12" x14ac:dyDescent="0.2">
      <c r="A108" s="6" t="s">
        <v>283</v>
      </c>
      <c r="B108" s="6" t="s">
        <v>30</v>
      </c>
      <c r="C108" s="6" t="s">
        <v>284</v>
      </c>
      <c r="D108" s="7">
        <v>16</v>
      </c>
      <c r="E108" s="6" t="s">
        <v>91</v>
      </c>
      <c r="F108" s="6" t="s">
        <v>92</v>
      </c>
      <c r="G108" s="7">
        <v>78</v>
      </c>
      <c r="H108" s="7">
        <v>183</v>
      </c>
      <c r="I108" s="8">
        <v>0.39420545101165799</v>
      </c>
      <c r="J108" s="6" t="s">
        <v>59</v>
      </c>
      <c r="K108" s="6" t="str">
        <f t="shared" si="1"/>
        <v>No</v>
      </c>
      <c r="L108" s="6" t="s">
        <v>285</v>
      </c>
    </row>
    <row r="109" spans="1:12" x14ac:dyDescent="0.2">
      <c r="A109" s="6" t="s">
        <v>286</v>
      </c>
      <c r="B109" s="6" t="s">
        <v>24</v>
      </c>
      <c r="C109" s="6" t="s">
        <v>284</v>
      </c>
      <c r="D109" s="7">
        <v>16</v>
      </c>
      <c r="E109" s="6" t="s">
        <v>91</v>
      </c>
      <c r="F109" s="6" t="s">
        <v>92</v>
      </c>
      <c r="G109" s="7">
        <v>78</v>
      </c>
      <c r="H109" s="7">
        <v>157</v>
      </c>
      <c r="I109" s="8">
        <v>1</v>
      </c>
      <c r="J109" s="6" t="s">
        <v>34</v>
      </c>
      <c r="K109" s="6" t="str">
        <f t="shared" si="1"/>
        <v>Yes</v>
      </c>
      <c r="L109" s="6" t="s">
        <v>287</v>
      </c>
    </row>
    <row r="110" spans="1:12" x14ac:dyDescent="0.2">
      <c r="A110" s="6" t="s">
        <v>288</v>
      </c>
      <c r="B110" s="6" t="s">
        <v>30</v>
      </c>
      <c r="C110" s="6" t="s">
        <v>284</v>
      </c>
      <c r="D110" s="7">
        <v>16</v>
      </c>
      <c r="E110" s="6" t="s">
        <v>91</v>
      </c>
      <c r="F110" s="6" t="s">
        <v>92</v>
      </c>
      <c r="G110" s="7">
        <v>79</v>
      </c>
      <c r="H110" s="7">
        <v>147</v>
      </c>
      <c r="I110" s="8">
        <v>0</v>
      </c>
      <c r="J110" s="6" t="s">
        <v>27</v>
      </c>
      <c r="K110" s="6" t="str">
        <f t="shared" si="1"/>
        <v>No</v>
      </c>
      <c r="L110" s="6" t="s">
        <v>289</v>
      </c>
    </row>
    <row r="111" spans="1:12" x14ac:dyDescent="0.2">
      <c r="A111" s="6" t="s">
        <v>290</v>
      </c>
      <c r="B111" s="6" t="s">
        <v>24</v>
      </c>
      <c r="C111" s="6" t="s">
        <v>291</v>
      </c>
      <c r="D111" s="7">
        <v>16</v>
      </c>
      <c r="E111" s="6" t="s">
        <v>91</v>
      </c>
      <c r="F111" s="6" t="s">
        <v>100</v>
      </c>
      <c r="G111" s="7">
        <v>77</v>
      </c>
      <c r="H111" s="7">
        <v>121</v>
      </c>
      <c r="I111" s="8">
        <v>0</v>
      </c>
      <c r="J111" s="6" t="s">
        <v>27</v>
      </c>
      <c r="K111" s="6" t="str">
        <f t="shared" si="1"/>
        <v>No</v>
      </c>
      <c r="L111" s="6" t="s">
        <v>292</v>
      </c>
    </row>
    <row r="112" spans="1:12" x14ac:dyDescent="0.2">
      <c r="A112" s="6" t="s">
        <v>293</v>
      </c>
      <c r="B112" s="6" t="s">
        <v>30</v>
      </c>
      <c r="C112" s="6" t="s">
        <v>291</v>
      </c>
      <c r="D112" s="7">
        <v>16</v>
      </c>
      <c r="E112" s="6" t="s">
        <v>91</v>
      </c>
      <c r="F112" s="6" t="s">
        <v>100</v>
      </c>
      <c r="G112" s="7">
        <v>77</v>
      </c>
      <c r="H112" s="7">
        <v>188</v>
      </c>
      <c r="I112" s="8">
        <v>0</v>
      </c>
      <c r="J112" s="6" t="s">
        <v>27</v>
      </c>
      <c r="K112" s="6" t="str">
        <f t="shared" si="1"/>
        <v>No</v>
      </c>
      <c r="L112" s="6" t="s">
        <v>294</v>
      </c>
    </row>
    <row r="113" spans="1:12" x14ac:dyDescent="0.2">
      <c r="A113" s="6" t="s">
        <v>295</v>
      </c>
      <c r="B113" s="6" t="s">
        <v>24</v>
      </c>
      <c r="C113" s="6" t="s">
        <v>296</v>
      </c>
      <c r="D113" s="7">
        <v>17</v>
      </c>
      <c r="E113" s="6" t="s">
        <v>91</v>
      </c>
      <c r="F113" s="6" t="s">
        <v>92</v>
      </c>
      <c r="G113" s="7">
        <v>81</v>
      </c>
      <c r="H113" s="7">
        <v>106</v>
      </c>
      <c r="I113" s="8">
        <v>0</v>
      </c>
      <c r="J113" s="6" t="s">
        <v>27</v>
      </c>
      <c r="K113" s="6" t="str">
        <f t="shared" si="1"/>
        <v>No</v>
      </c>
      <c r="L113" s="6" t="s">
        <v>297</v>
      </c>
    </row>
    <row r="114" spans="1:12" x14ac:dyDescent="0.2">
      <c r="A114" s="6" t="s">
        <v>298</v>
      </c>
      <c r="B114" s="6" t="s">
        <v>30</v>
      </c>
      <c r="C114" s="6" t="s">
        <v>296</v>
      </c>
      <c r="D114" s="7">
        <v>17</v>
      </c>
      <c r="E114" s="6" t="s">
        <v>91</v>
      </c>
      <c r="F114" s="6" t="s">
        <v>92</v>
      </c>
      <c r="G114" s="7">
        <v>82</v>
      </c>
      <c r="H114" s="7">
        <v>75</v>
      </c>
      <c r="I114" s="8">
        <v>1</v>
      </c>
      <c r="J114" s="6" t="s">
        <v>34</v>
      </c>
      <c r="K114" s="6" t="str">
        <f t="shared" si="1"/>
        <v>Yes</v>
      </c>
      <c r="L114" s="6" t="s">
        <v>299</v>
      </c>
    </row>
    <row r="115" spans="1:12" x14ac:dyDescent="0.2">
      <c r="A115" s="6" t="s">
        <v>300</v>
      </c>
      <c r="B115" s="6" t="s">
        <v>24</v>
      </c>
      <c r="C115" s="6" t="s">
        <v>296</v>
      </c>
      <c r="D115" s="7">
        <v>17</v>
      </c>
      <c r="E115" s="6" t="s">
        <v>91</v>
      </c>
      <c r="F115" s="6" t="s">
        <v>92</v>
      </c>
      <c r="G115" s="7">
        <v>82</v>
      </c>
      <c r="H115" s="7">
        <v>198</v>
      </c>
      <c r="I115" s="8">
        <v>0</v>
      </c>
      <c r="J115" s="6" t="s">
        <v>27</v>
      </c>
      <c r="K115" s="6" t="str">
        <f t="shared" si="1"/>
        <v>No</v>
      </c>
      <c r="L115" s="6" t="s">
        <v>301</v>
      </c>
    </row>
    <row r="116" spans="1:12" x14ac:dyDescent="0.2">
      <c r="A116" s="6" t="s">
        <v>302</v>
      </c>
      <c r="B116" s="6" t="s">
        <v>30</v>
      </c>
      <c r="C116" s="6" t="s">
        <v>296</v>
      </c>
      <c r="D116" s="7">
        <v>17</v>
      </c>
      <c r="E116" s="6" t="s">
        <v>91</v>
      </c>
      <c r="F116" s="6" t="s">
        <v>92</v>
      </c>
      <c r="G116" s="7">
        <v>81</v>
      </c>
      <c r="H116" s="7">
        <v>81</v>
      </c>
      <c r="I116" s="8">
        <v>0</v>
      </c>
      <c r="J116" s="6" t="s">
        <v>27</v>
      </c>
      <c r="K116" s="6" t="str">
        <f t="shared" si="1"/>
        <v>No</v>
      </c>
      <c r="L116" s="6" t="s">
        <v>303</v>
      </c>
    </row>
    <row r="117" spans="1:12" x14ac:dyDescent="0.2">
      <c r="A117" s="6" t="s">
        <v>304</v>
      </c>
      <c r="B117" s="6" t="s">
        <v>30</v>
      </c>
      <c r="C117" s="6" t="s">
        <v>305</v>
      </c>
      <c r="D117" s="7">
        <v>17</v>
      </c>
      <c r="E117" s="6" t="s">
        <v>91</v>
      </c>
      <c r="F117" s="6" t="s">
        <v>100</v>
      </c>
      <c r="G117" s="7">
        <v>80</v>
      </c>
      <c r="H117" s="7">
        <v>196</v>
      </c>
      <c r="I117" s="8">
        <v>1</v>
      </c>
      <c r="J117" s="6" t="s">
        <v>34</v>
      </c>
      <c r="K117" s="6" t="str">
        <f t="shared" si="1"/>
        <v>Yes</v>
      </c>
      <c r="L117" s="6" t="s">
        <v>306</v>
      </c>
    </row>
    <row r="118" spans="1:12" x14ac:dyDescent="0.2">
      <c r="A118" s="6" t="s">
        <v>307</v>
      </c>
      <c r="B118" s="6" t="s">
        <v>24</v>
      </c>
      <c r="C118" s="6" t="s">
        <v>305</v>
      </c>
      <c r="D118" s="7">
        <v>17</v>
      </c>
      <c r="E118" s="6" t="s">
        <v>91</v>
      </c>
      <c r="F118" s="6" t="s">
        <v>100</v>
      </c>
      <c r="G118" s="7">
        <v>80</v>
      </c>
      <c r="H118" s="7">
        <v>154</v>
      </c>
      <c r="I118" s="8">
        <v>1</v>
      </c>
      <c r="J118" s="6" t="s">
        <v>34</v>
      </c>
      <c r="K118" s="6" t="str">
        <f t="shared" si="1"/>
        <v>Yes</v>
      </c>
      <c r="L118" s="6" t="s">
        <v>308</v>
      </c>
    </row>
    <row r="119" spans="1:12" x14ac:dyDescent="0.2">
      <c r="A119" s="6" t="s">
        <v>309</v>
      </c>
      <c r="B119" s="6" t="s">
        <v>30</v>
      </c>
      <c r="C119" s="6" t="s">
        <v>310</v>
      </c>
      <c r="D119" s="7">
        <v>18</v>
      </c>
      <c r="E119" s="6" t="s">
        <v>91</v>
      </c>
      <c r="F119" s="6" t="s">
        <v>92</v>
      </c>
      <c r="G119" s="7">
        <v>84</v>
      </c>
      <c r="H119" s="7">
        <v>173</v>
      </c>
      <c r="I119" s="8">
        <v>1</v>
      </c>
      <c r="J119" s="6" t="s">
        <v>34</v>
      </c>
      <c r="K119" s="6" t="str">
        <f t="shared" si="1"/>
        <v>Yes</v>
      </c>
      <c r="L119" s="6" t="s">
        <v>311</v>
      </c>
    </row>
    <row r="120" spans="1:12" x14ac:dyDescent="0.2">
      <c r="A120" s="6" t="s">
        <v>312</v>
      </c>
      <c r="B120" s="6" t="s">
        <v>24</v>
      </c>
      <c r="C120" s="6" t="s">
        <v>310</v>
      </c>
      <c r="D120" s="7">
        <v>18</v>
      </c>
      <c r="E120" s="6" t="s">
        <v>91</v>
      </c>
      <c r="F120" s="6" t="s">
        <v>92</v>
      </c>
      <c r="G120" s="7">
        <v>85</v>
      </c>
      <c r="H120" s="7">
        <v>90</v>
      </c>
      <c r="I120" s="8">
        <v>0</v>
      </c>
      <c r="J120" s="6" t="s">
        <v>27</v>
      </c>
      <c r="K120" s="6" t="str">
        <f t="shared" si="1"/>
        <v>No</v>
      </c>
      <c r="L120" s="6" t="s">
        <v>313</v>
      </c>
    </row>
    <row r="121" spans="1:12" x14ac:dyDescent="0.2">
      <c r="A121" s="6" t="s">
        <v>314</v>
      </c>
      <c r="B121" s="6" t="s">
        <v>24</v>
      </c>
      <c r="C121" s="6" t="s">
        <v>310</v>
      </c>
      <c r="D121" s="7">
        <v>18</v>
      </c>
      <c r="E121" s="6" t="s">
        <v>91</v>
      </c>
      <c r="F121" s="6" t="s">
        <v>92</v>
      </c>
      <c r="G121" s="7">
        <v>84</v>
      </c>
      <c r="H121" s="7">
        <v>184</v>
      </c>
      <c r="I121" s="8">
        <v>0</v>
      </c>
      <c r="J121" s="6" t="s">
        <v>27</v>
      </c>
      <c r="K121" s="6" t="str">
        <f t="shared" si="1"/>
        <v>No</v>
      </c>
      <c r="L121" s="6" t="s">
        <v>315</v>
      </c>
    </row>
    <row r="122" spans="1:12" x14ac:dyDescent="0.2">
      <c r="A122" s="6" t="s">
        <v>316</v>
      </c>
      <c r="B122" s="6" t="s">
        <v>30</v>
      </c>
      <c r="C122" s="6" t="s">
        <v>317</v>
      </c>
      <c r="D122" s="7">
        <v>18</v>
      </c>
      <c r="E122" s="6" t="s">
        <v>91</v>
      </c>
      <c r="F122" s="6" t="s">
        <v>100</v>
      </c>
      <c r="G122" s="7">
        <v>83</v>
      </c>
      <c r="H122" s="7">
        <v>199</v>
      </c>
      <c r="I122" s="8">
        <v>0</v>
      </c>
      <c r="J122" s="6" t="s">
        <v>27</v>
      </c>
      <c r="K122" s="6" t="str">
        <f t="shared" si="1"/>
        <v>No</v>
      </c>
      <c r="L122" s="6" t="s">
        <v>318</v>
      </c>
    </row>
    <row r="123" spans="1:12" x14ac:dyDescent="0.2">
      <c r="A123" s="6" t="s">
        <v>319</v>
      </c>
      <c r="B123" s="6" t="s">
        <v>24</v>
      </c>
      <c r="C123" s="6" t="s">
        <v>317</v>
      </c>
      <c r="D123" s="7">
        <v>18</v>
      </c>
      <c r="E123" s="6" t="s">
        <v>91</v>
      </c>
      <c r="F123" s="6" t="s">
        <v>100</v>
      </c>
      <c r="G123" s="7">
        <v>83</v>
      </c>
      <c r="H123" s="7">
        <v>91</v>
      </c>
      <c r="I123" s="8">
        <v>0</v>
      </c>
      <c r="J123" s="6" t="s">
        <v>27</v>
      </c>
      <c r="K123" s="6" t="str">
        <f t="shared" si="1"/>
        <v>No</v>
      </c>
      <c r="L123" s="6" t="s">
        <v>320</v>
      </c>
    </row>
    <row r="124" spans="1:12" x14ac:dyDescent="0.2">
      <c r="A124" s="6" t="s">
        <v>321</v>
      </c>
      <c r="B124" s="6" t="s">
        <v>24</v>
      </c>
      <c r="C124" s="6" t="s">
        <v>322</v>
      </c>
      <c r="D124" s="7">
        <v>19</v>
      </c>
      <c r="E124" s="6" t="s">
        <v>91</v>
      </c>
      <c r="F124" s="6" t="s">
        <v>92</v>
      </c>
      <c r="G124" s="7">
        <v>88</v>
      </c>
      <c r="H124" s="7">
        <v>200</v>
      </c>
      <c r="I124" s="8">
        <v>1</v>
      </c>
      <c r="J124" s="6" t="s">
        <v>34</v>
      </c>
      <c r="K124" s="6" t="str">
        <f t="shared" si="1"/>
        <v>Yes</v>
      </c>
      <c r="L124" s="6" t="s">
        <v>323</v>
      </c>
    </row>
    <row r="125" spans="1:12" x14ac:dyDescent="0.2">
      <c r="A125" s="6" t="s">
        <v>324</v>
      </c>
      <c r="B125" s="6" t="s">
        <v>30</v>
      </c>
      <c r="C125" s="6" t="s">
        <v>322</v>
      </c>
      <c r="D125" s="7">
        <v>19</v>
      </c>
      <c r="E125" s="6" t="s">
        <v>91</v>
      </c>
      <c r="F125" s="6" t="s">
        <v>92</v>
      </c>
      <c r="G125" s="7">
        <v>88</v>
      </c>
      <c r="H125" s="7">
        <v>181</v>
      </c>
      <c r="I125" s="8">
        <v>0</v>
      </c>
      <c r="J125" s="6" t="s">
        <v>27</v>
      </c>
      <c r="K125" s="6" t="str">
        <f t="shared" si="1"/>
        <v>No</v>
      </c>
      <c r="L125" s="6" t="s">
        <v>325</v>
      </c>
    </row>
    <row r="126" spans="1:12" x14ac:dyDescent="0.2">
      <c r="A126" s="6" t="s">
        <v>326</v>
      </c>
      <c r="B126" s="6" t="s">
        <v>24</v>
      </c>
      <c r="C126" s="6" t="s">
        <v>322</v>
      </c>
      <c r="D126" s="7">
        <v>19</v>
      </c>
      <c r="E126" s="6" t="s">
        <v>91</v>
      </c>
      <c r="F126" s="6" t="s">
        <v>92</v>
      </c>
      <c r="G126" s="7">
        <v>87</v>
      </c>
      <c r="H126" s="7">
        <v>136</v>
      </c>
      <c r="I126" s="8">
        <v>0</v>
      </c>
      <c r="J126" s="6" t="s">
        <v>27</v>
      </c>
      <c r="K126" s="6" t="str">
        <f t="shared" si="1"/>
        <v>No</v>
      </c>
      <c r="L126" s="6" t="s">
        <v>327</v>
      </c>
    </row>
    <row r="127" spans="1:12" x14ac:dyDescent="0.2">
      <c r="A127" s="6" t="s">
        <v>328</v>
      </c>
      <c r="B127" s="6" t="s">
        <v>30</v>
      </c>
      <c r="C127" s="6" t="s">
        <v>322</v>
      </c>
      <c r="D127" s="7">
        <v>19</v>
      </c>
      <c r="E127" s="6" t="s">
        <v>91</v>
      </c>
      <c r="F127" s="6" t="s">
        <v>92</v>
      </c>
      <c r="G127" s="7">
        <v>87</v>
      </c>
      <c r="H127" s="7">
        <v>150</v>
      </c>
      <c r="I127" s="8">
        <v>0</v>
      </c>
      <c r="J127" s="6" t="s">
        <v>27</v>
      </c>
      <c r="K127" s="6" t="str">
        <f t="shared" si="1"/>
        <v>No</v>
      </c>
      <c r="L127" s="6" t="s">
        <v>329</v>
      </c>
    </row>
    <row r="128" spans="1:12" x14ac:dyDescent="0.2">
      <c r="A128" s="6" t="s">
        <v>330</v>
      </c>
      <c r="B128" s="6" t="s">
        <v>24</v>
      </c>
      <c r="C128" s="6" t="s">
        <v>331</v>
      </c>
      <c r="D128" s="7">
        <v>19</v>
      </c>
      <c r="E128" s="6" t="s">
        <v>91</v>
      </c>
      <c r="F128" s="6" t="s">
        <v>100</v>
      </c>
      <c r="G128" s="7">
        <v>86</v>
      </c>
      <c r="H128" s="7">
        <v>187</v>
      </c>
      <c r="I128" s="8">
        <v>0</v>
      </c>
      <c r="J128" s="6" t="s">
        <v>27</v>
      </c>
      <c r="K128" s="6" t="str">
        <f t="shared" si="1"/>
        <v>No</v>
      </c>
      <c r="L128" s="6" t="s">
        <v>332</v>
      </c>
    </row>
    <row r="129" spans="1:12" x14ac:dyDescent="0.2">
      <c r="A129" s="6" t="s">
        <v>333</v>
      </c>
      <c r="B129" s="6" t="s">
        <v>30</v>
      </c>
      <c r="C129" s="6" t="s">
        <v>331</v>
      </c>
      <c r="D129" s="7">
        <v>19</v>
      </c>
      <c r="E129" s="6" t="s">
        <v>91</v>
      </c>
      <c r="F129" s="6" t="s">
        <v>100</v>
      </c>
      <c r="G129" s="7">
        <v>86</v>
      </c>
      <c r="H129" s="7">
        <v>172</v>
      </c>
      <c r="I129" s="8">
        <v>0</v>
      </c>
      <c r="J129" s="6" t="s">
        <v>27</v>
      </c>
      <c r="K129" s="6" t="str">
        <f t="shared" si="1"/>
        <v>No</v>
      </c>
      <c r="L129" s="6" t="s">
        <v>334</v>
      </c>
    </row>
    <row r="130" spans="1:12" x14ac:dyDescent="0.2">
      <c r="A130" s="6" t="s">
        <v>335</v>
      </c>
      <c r="B130" s="6" t="s">
        <v>24</v>
      </c>
      <c r="C130" s="6" t="s">
        <v>336</v>
      </c>
      <c r="D130" s="7">
        <v>20</v>
      </c>
      <c r="E130" s="6" t="s">
        <v>91</v>
      </c>
      <c r="F130" s="6" t="s">
        <v>92</v>
      </c>
      <c r="G130" s="7">
        <v>90</v>
      </c>
      <c r="H130" s="7">
        <v>119</v>
      </c>
      <c r="I130" s="8">
        <v>1</v>
      </c>
      <c r="J130" s="6" t="s">
        <v>34</v>
      </c>
      <c r="K130" s="6" t="str">
        <f t="shared" ref="K130:K193" si="2">IF(I130="","no statement",IF(I130&gt;0.5,"Yes","No"))</f>
        <v>Yes</v>
      </c>
      <c r="L130" s="6" t="s">
        <v>337</v>
      </c>
    </row>
    <row r="131" spans="1:12" x14ac:dyDescent="0.2">
      <c r="A131" s="6" t="s">
        <v>338</v>
      </c>
      <c r="B131" s="6" t="s">
        <v>24</v>
      </c>
      <c r="C131" s="6" t="s">
        <v>336</v>
      </c>
      <c r="D131" s="7">
        <v>20</v>
      </c>
      <c r="E131" s="6" t="s">
        <v>91</v>
      </c>
      <c r="F131" s="6" t="s">
        <v>92</v>
      </c>
      <c r="G131" s="7">
        <v>90</v>
      </c>
      <c r="H131" s="7">
        <v>200</v>
      </c>
      <c r="I131" s="8">
        <v>0</v>
      </c>
      <c r="J131" s="6" t="s">
        <v>27</v>
      </c>
      <c r="K131" s="6" t="str">
        <f t="shared" si="2"/>
        <v>No</v>
      </c>
      <c r="L131" s="6" t="s">
        <v>339</v>
      </c>
    </row>
    <row r="132" spans="1:12" x14ac:dyDescent="0.2">
      <c r="A132" s="6" t="s">
        <v>340</v>
      </c>
      <c r="B132" s="6" t="s">
        <v>24</v>
      </c>
      <c r="C132" s="6" t="s">
        <v>341</v>
      </c>
      <c r="D132" s="7">
        <v>20</v>
      </c>
      <c r="E132" s="6" t="s">
        <v>91</v>
      </c>
      <c r="F132" s="6" t="s">
        <v>100</v>
      </c>
      <c r="G132" s="7">
        <v>89</v>
      </c>
      <c r="H132" s="7">
        <v>199</v>
      </c>
      <c r="I132" s="8">
        <v>0</v>
      </c>
      <c r="J132" s="6" t="s">
        <v>27</v>
      </c>
      <c r="K132" s="6" t="str">
        <f t="shared" si="2"/>
        <v>No</v>
      </c>
      <c r="L132" s="6" t="s">
        <v>342</v>
      </c>
    </row>
    <row r="133" spans="1:12" x14ac:dyDescent="0.2">
      <c r="A133" s="6" t="s">
        <v>343</v>
      </c>
      <c r="B133" s="6" t="s">
        <v>30</v>
      </c>
      <c r="C133" s="6" t="s">
        <v>344</v>
      </c>
      <c r="D133" s="7">
        <v>21</v>
      </c>
      <c r="E133" s="6" t="s">
        <v>91</v>
      </c>
      <c r="F133" s="6" t="s">
        <v>92</v>
      </c>
      <c r="G133" s="7">
        <v>92</v>
      </c>
      <c r="H133" s="7">
        <v>178</v>
      </c>
      <c r="I133" s="8">
        <v>0</v>
      </c>
      <c r="J133" s="6" t="s">
        <v>27</v>
      </c>
      <c r="K133" s="6" t="str">
        <f t="shared" si="2"/>
        <v>No</v>
      </c>
      <c r="L133" s="6" t="s">
        <v>345</v>
      </c>
    </row>
    <row r="134" spans="1:12" x14ac:dyDescent="0.2">
      <c r="A134" s="6" t="s">
        <v>346</v>
      </c>
      <c r="B134" s="6" t="s">
        <v>24</v>
      </c>
      <c r="C134" s="6" t="s">
        <v>344</v>
      </c>
      <c r="D134" s="7">
        <v>21</v>
      </c>
      <c r="E134" s="6" t="s">
        <v>91</v>
      </c>
      <c r="F134" s="6" t="s">
        <v>92</v>
      </c>
      <c r="G134" s="7">
        <v>92</v>
      </c>
      <c r="H134" s="7">
        <v>187</v>
      </c>
      <c r="I134" s="8">
        <v>0</v>
      </c>
      <c r="J134" s="6" t="s">
        <v>27</v>
      </c>
      <c r="K134" s="6" t="str">
        <f t="shared" si="2"/>
        <v>No</v>
      </c>
      <c r="L134" s="6" t="s">
        <v>347</v>
      </c>
    </row>
    <row r="135" spans="1:12" x14ac:dyDescent="0.2">
      <c r="A135" s="6" t="s">
        <v>348</v>
      </c>
      <c r="B135" s="6" t="s">
        <v>24</v>
      </c>
      <c r="C135" s="6" t="s">
        <v>344</v>
      </c>
      <c r="D135" s="7">
        <v>21</v>
      </c>
      <c r="E135" s="6" t="s">
        <v>91</v>
      </c>
      <c r="F135" s="6" t="s">
        <v>92</v>
      </c>
      <c r="G135" s="7">
        <v>93</v>
      </c>
      <c r="H135" s="7">
        <v>171</v>
      </c>
      <c r="I135" s="8">
        <v>0</v>
      </c>
      <c r="J135" s="6" t="s">
        <v>27</v>
      </c>
      <c r="K135" s="6" t="str">
        <f t="shared" si="2"/>
        <v>No</v>
      </c>
      <c r="L135" s="6" t="s">
        <v>349</v>
      </c>
    </row>
    <row r="136" spans="1:12" x14ac:dyDescent="0.2">
      <c r="A136" s="6" t="s">
        <v>350</v>
      </c>
      <c r="B136" s="6" t="s">
        <v>30</v>
      </c>
      <c r="C136" s="6" t="s">
        <v>351</v>
      </c>
      <c r="D136" s="7">
        <v>21</v>
      </c>
      <c r="E136" s="6" t="s">
        <v>91</v>
      </c>
      <c r="F136" s="6" t="s">
        <v>100</v>
      </c>
      <c r="G136" s="7">
        <v>91</v>
      </c>
      <c r="H136" s="7">
        <v>199</v>
      </c>
      <c r="I136" s="8">
        <v>0</v>
      </c>
      <c r="J136" s="6" t="s">
        <v>27</v>
      </c>
      <c r="K136" s="6" t="str">
        <f t="shared" si="2"/>
        <v>No</v>
      </c>
      <c r="L136" s="6" t="s">
        <v>352</v>
      </c>
    </row>
    <row r="137" spans="1:12" x14ac:dyDescent="0.2">
      <c r="A137" s="6" t="s">
        <v>353</v>
      </c>
      <c r="B137" s="6" t="s">
        <v>24</v>
      </c>
      <c r="C137" s="6" t="s">
        <v>351</v>
      </c>
      <c r="D137" s="7">
        <v>21</v>
      </c>
      <c r="E137" s="6" t="s">
        <v>91</v>
      </c>
      <c r="F137" s="6" t="s">
        <v>100</v>
      </c>
      <c r="G137" s="7">
        <v>91</v>
      </c>
      <c r="H137" s="7">
        <v>162</v>
      </c>
      <c r="I137" s="8">
        <v>1</v>
      </c>
      <c r="J137" s="6" t="s">
        <v>34</v>
      </c>
      <c r="K137" s="6" t="str">
        <f t="shared" si="2"/>
        <v>Yes</v>
      </c>
      <c r="L137" s="6" t="s">
        <v>354</v>
      </c>
    </row>
    <row r="138" spans="1:12" x14ac:dyDescent="0.2">
      <c r="A138" s="6" t="s">
        <v>355</v>
      </c>
      <c r="B138" s="6" t="s">
        <v>24</v>
      </c>
      <c r="C138" s="6" t="s">
        <v>356</v>
      </c>
      <c r="D138" s="7">
        <v>22</v>
      </c>
      <c r="E138" s="6" t="s">
        <v>91</v>
      </c>
      <c r="F138" s="6" t="s">
        <v>92</v>
      </c>
      <c r="G138" s="7">
        <v>95</v>
      </c>
      <c r="H138" s="7">
        <v>195</v>
      </c>
      <c r="I138" s="8">
        <v>0</v>
      </c>
      <c r="J138" s="6" t="s">
        <v>27</v>
      </c>
      <c r="K138" s="6" t="str">
        <f t="shared" si="2"/>
        <v>No</v>
      </c>
      <c r="L138" s="6" t="s">
        <v>357</v>
      </c>
    </row>
    <row r="139" spans="1:12" x14ac:dyDescent="0.2">
      <c r="A139" s="6" t="s">
        <v>358</v>
      </c>
      <c r="B139" s="6" t="s">
        <v>24</v>
      </c>
      <c r="C139" s="6" t="s">
        <v>356</v>
      </c>
      <c r="D139" s="7">
        <v>22</v>
      </c>
      <c r="E139" s="6" t="s">
        <v>91</v>
      </c>
      <c r="F139" s="6" t="s">
        <v>92</v>
      </c>
      <c r="G139" s="7">
        <v>95</v>
      </c>
      <c r="H139" s="7">
        <v>143</v>
      </c>
      <c r="I139" s="8">
        <v>1</v>
      </c>
      <c r="J139" s="6" t="s">
        <v>34</v>
      </c>
      <c r="K139" s="6" t="str">
        <f t="shared" si="2"/>
        <v>Yes</v>
      </c>
      <c r="L139" s="6" t="s">
        <v>359</v>
      </c>
    </row>
    <row r="140" spans="1:12" x14ac:dyDescent="0.2">
      <c r="A140" s="6" t="s">
        <v>360</v>
      </c>
      <c r="B140" s="6" t="s">
        <v>24</v>
      </c>
      <c r="C140" s="6" t="s">
        <v>361</v>
      </c>
      <c r="D140" s="7">
        <v>22</v>
      </c>
      <c r="E140" s="6" t="s">
        <v>91</v>
      </c>
      <c r="F140" s="6" t="s">
        <v>100</v>
      </c>
      <c r="G140" s="7">
        <v>94</v>
      </c>
      <c r="H140" s="7">
        <v>152</v>
      </c>
      <c r="I140" s="8">
        <v>0</v>
      </c>
      <c r="J140" s="6" t="s">
        <v>27</v>
      </c>
      <c r="K140" s="6" t="str">
        <f t="shared" si="2"/>
        <v>No</v>
      </c>
      <c r="L140" s="6" t="s">
        <v>362</v>
      </c>
    </row>
    <row r="141" spans="1:12" x14ac:dyDescent="0.2">
      <c r="A141" s="6" t="s">
        <v>363</v>
      </c>
      <c r="B141" s="6" t="s">
        <v>24</v>
      </c>
      <c r="C141" s="6" t="s">
        <v>364</v>
      </c>
      <c r="D141" s="7">
        <v>23</v>
      </c>
      <c r="E141" s="6" t="s">
        <v>91</v>
      </c>
      <c r="F141" s="6" t="s">
        <v>92</v>
      </c>
      <c r="G141" s="7">
        <v>97</v>
      </c>
      <c r="H141" s="7">
        <v>170</v>
      </c>
      <c r="I141" s="8">
        <v>1</v>
      </c>
      <c r="J141" s="6" t="s">
        <v>34</v>
      </c>
      <c r="K141" s="6" t="str">
        <f t="shared" si="2"/>
        <v>Yes</v>
      </c>
      <c r="L141" s="6" t="s">
        <v>365</v>
      </c>
    </row>
    <row r="142" spans="1:12" x14ac:dyDescent="0.2">
      <c r="A142" s="6" t="s">
        <v>366</v>
      </c>
      <c r="B142" s="6" t="s">
        <v>30</v>
      </c>
      <c r="C142" s="6" t="s">
        <v>364</v>
      </c>
      <c r="D142" s="7">
        <v>23</v>
      </c>
      <c r="E142" s="6" t="s">
        <v>91</v>
      </c>
      <c r="F142" s="6" t="s">
        <v>92</v>
      </c>
      <c r="G142" s="7">
        <v>97</v>
      </c>
      <c r="H142" s="7">
        <v>206</v>
      </c>
      <c r="I142" s="8">
        <v>0</v>
      </c>
      <c r="J142" s="6" t="s">
        <v>27</v>
      </c>
      <c r="K142" s="6" t="str">
        <f t="shared" si="2"/>
        <v>No</v>
      </c>
      <c r="L142" s="6" t="s">
        <v>367</v>
      </c>
    </row>
    <row r="143" spans="1:12" x14ac:dyDescent="0.2">
      <c r="A143" s="6" t="s">
        <v>368</v>
      </c>
      <c r="B143" s="6" t="s">
        <v>24</v>
      </c>
      <c r="C143" s="6" t="s">
        <v>364</v>
      </c>
      <c r="D143" s="7">
        <v>23</v>
      </c>
      <c r="E143" s="6" t="s">
        <v>91</v>
      </c>
      <c r="F143" s="6" t="s">
        <v>92</v>
      </c>
      <c r="G143" s="7">
        <v>98</v>
      </c>
      <c r="H143" s="7">
        <v>202</v>
      </c>
      <c r="I143" s="8">
        <v>0</v>
      </c>
      <c r="J143" s="6" t="s">
        <v>59</v>
      </c>
      <c r="K143" s="6" t="str">
        <f t="shared" si="2"/>
        <v>No</v>
      </c>
      <c r="L143" s="6" t="s">
        <v>369</v>
      </c>
    </row>
    <row r="144" spans="1:12" x14ac:dyDescent="0.2">
      <c r="A144" s="6" t="s">
        <v>370</v>
      </c>
      <c r="B144" s="6" t="s">
        <v>30</v>
      </c>
      <c r="C144" s="6" t="s">
        <v>364</v>
      </c>
      <c r="D144" s="7">
        <v>23</v>
      </c>
      <c r="E144" s="6" t="s">
        <v>91</v>
      </c>
      <c r="F144" s="6" t="s">
        <v>92</v>
      </c>
      <c r="G144" s="7">
        <v>98</v>
      </c>
      <c r="H144" s="7">
        <v>199</v>
      </c>
      <c r="I144" s="8">
        <v>1</v>
      </c>
      <c r="J144" s="6" t="s">
        <v>34</v>
      </c>
      <c r="K144" s="6" t="str">
        <f t="shared" si="2"/>
        <v>Yes</v>
      </c>
      <c r="L144" s="6" t="s">
        <v>371</v>
      </c>
    </row>
    <row r="145" spans="1:12" x14ac:dyDescent="0.2">
      <c r="A145" s="6" t="s">
        <v>372</v>
      </c>
      <c r="B145" s="6" t="s">
        <v>24</v>
      </c>
      <c r="C145" s="6" t="s">
        <v>373</v>
      </c>
      <c r="D145" s="7">
        <v>23</v>
      </c>
      <c r="E145" s="6" t="s">
        <v>91</v>
      </c>
      <c r="F145" s="6" t="s">
        <v>100</v>
      </c>
      <c r="G145" s="7">
        <v>96</v>
      </c>
      <c r="H145" s="7">
        <v>185</v>
      </c>
      <c r="I145" s="8">
        <v>1</v>
      </c>
      <c r="J145" s="6" t="s">
        <v>34</v>
      </c>
      <c r="K145" s="6" t="str">
        <f t="shared" si="2"/>
        <v>Yes</v>
      </c>
      <c r="L145" s="6" t="s">
        <v>374</v>
      </c>
    </row>
    <row r="146" spans="1:12" x14ac:dyDescent="0.2">
      <c r="A146" s="6" t="s">
        <v>375</v>
      </c>
      <c r="B146" s="6" t="s">
        <v>30</v>
      </c>
      <c r="C146" s="6" t="s">
        <v>373</v>
      </c>
      <c r="D146" s="7">
        <v>23</v>
      </c>
      <c r="E146" s="6" t="s">
        <v>91</v>
      </c>
      <c r="F146" s="6" t="s">
        <v>100</v>
      </c>
      <c r="G146" s="7">
        <v>96</v>
      </c>
      <c r="H146" s="7">
        <v>198</v>
      </c>
      <c r="I146" s="8">
        <v>0</v>
      </c>
      <c r="J146" s="6" t="s">
        <v>27</v>
      </c>
      <c r="K146" s="6" t="str">
        <f t="shared" si="2"/>
        <v>No</v>
      </c>
      <c r="L146" s="6" t="s">
        <v>376</v>
      </c>
    </row>
    <row r="147" spans="1:12" x14ac:dyDescent="0.2">
      <c r="A147" s="6" t="s">
        <v>377</v>
      </c>
      <c r="B147" s="6" t="s">
        <v>24</v>
      </c>
      <c r="C147" s="6" t="s">
        <v>378</v>
      </c>
      <c r="D147" s="7">
        <v>24</v>
      </c>
      <c r="E147" s="6" t="s">
        <v>91</v>
      </c>
      <c r="F147" s="6" t="s">
        <v>92</v>
      </c>
      <c r="G147" s="7">
        <v>100</v>
      </c>
      <c r="H147" s="7">
        <v>182</v>
      </c>
      <c r="I147" s="8">
        <v>1</v>
      </c>
      <c r="J147" s="6" t="s">
        <v>34</v>
      </c>
      <c r="K147" s="6" t="str">
        <f t="shared" si="2"/>
        <v>Yes</v>
      </c>
      <c r="L147" s="6" t="s">
        <v>379</v>
      </c>
    </row>
    <row r="148" spans="1:12" x14ac:dyDescent="0.2">
      <c r="A148" s="6" t="s">
        <v>380</v>
      </c>
      <c r="B148" s="6" t="s">
        <v>30</v>
      </c>
      <c r="C148" s="6" t="s">
        <v>378</v>
      </c>
      <c r="D148" s="7">
        <v>24</v>
      </c>
      <c r="E148" s="6" t="s">
        <v>91</v>
      </c>
      <c r="F148" s="6" t="s">
        <v>92</v>
      </c>
      <c r="G148" s="7">
        <v>101</v>
      </c>
      <c r="H148" s="7">
        <v>172</v>
      </c>
      <c r="I148" s="8">
        <v>1</v>
      </c>
      <c r="J148" s="6" t="s">
        <v>34</v>
      </c>
      <c r="K148" s="6" t="str">
        <f t="shared" si="2"/>
        <v>Yes</v>
      </c>
      <c r="L148" s="6" t="s">
        <v>381</v>
      </c>
    </row>
    <row r="149" spans="1:12" x14ac:dyDescent="0.2">
      <c r="A149" s="6" t="s">
        <v>382</v>
      </c>
      <c r="B149" s="6" t="s">
        <v>24</v>
      </c>
      <c r="C149" s="6" t="s">
        <v>378</v>
      </c>
      <c r="D149" s="7">
        <v>24</v>
      </c>
      <c r="E149" s="6" t="s">
        <v>91</v>
      </c>
      <c r="F149" s="6" t="s">
        <v>92</v>
      </c>
      <c r="G149" s="7">
        <v>100</v>
      </c>
      <c r="H149" s="7">
        <v>173</v>
      </c>
      <c r="I149" s="8">
        <v>1</v>
      </c>
      <c r="J149" s="6" t="s">
        <v>34</v>
      </c>
      <c r="K149" s="6" t="str">
        <f t="shared" si="2"/>
        <v>Yes</v>
      </c>
      <c r="L149" s="6" t="s">
        <v>383</v>
      </c>
    </row>
    <row r="150" spans="1:12" x14ac:dyDescent="0.2">
      <c r="A150" s="6" t="s">
        <v>384</v>
      </c>
      <c r="B150" s="6" t="s">
        <v>24</v>
      </c>
      <c r="C150" s="6" t="s">
        <v>385</v>
      </c>
      <c r="D150" s="7">
        <v>24</v>
      </c>
      <c r="E150" s="6" t="s">
        <v>91</v>
      </c>
      <c r="F150" s="6" t="s">
        <v>100</v>
      </c>
      <c r="G150" s="7">
        <v>99</v>
      </c>
      <c r="H150" s="7">
        <v>187</v>
      </c>
      <c r="I150" s="8">
        <v>0</v>
      </c>
      <c r="J150" s="6" t="s">
        <v>27</v>
      </c>
      <c r="K150" s="6" t="str">
        <f t="shared" si="2"/>
        <v>No</v>
      </c>
      <c r="L150" s="6" t="s">
        <v>386</v>
      </c>
    </row>
    <row r="151" spans="1:12" x14ac:dyDescent="0.2">
      <c r="A151" s="6" t="s">
        <v>387</v>
      </c>
      <c r="B151" s="6" t="s">
        <v>30</v>
      </c>
      <c r="C151" s="6" t="s">
        <v>385</v>
      </c>
      <c r="D151" s="7">
        <v>24</v>
      </c>
      <c r="E151" s="6" t="s">
        <v>91</v>
      </c>
      <c r="F151" s="6" t="s">
        <v>100</v>
      </c>
      <c r="G151" s="7">
        <v>99</v>
      </c>
      <c r="H151" s="7">
        <v>157</v>
      </c>
      <c r="I151" s="8">
        <v>1</v>
      </c>
      <c r="J151" s="6" t="s">
        <v>34</v>
      </c>
      <c r="K151" s="6" t="str">
        <f t="shared" si="2"/>
        <v>Yes</v>
      </c>
      <c r="L151" s="6" t="s">
        <v>388</v>
      </c>
    </row>
    <row r="152" spans="1:12" x14ac:dyDescent="0.2">
      <c r="A152" s="6" t="s">
        <v>389</v>
      </c>
      <c r="B152" s="6" t="s">
        <v>30</v>
      </c>
      <c r="C152" s="6" t="s">
        <v>390</v>
      </c>
      <c r="D152" s="7">
        <v>25</v>
      </c>
      <c r="E152" s="6" t="s">
        <v>91</v>
      </c>
      <c r="F152" s="6" t="s">
        <v>92</v>
      </c>
      <c r="G152" s="7">
        <v>103</v>
      </c>
      <c r="H152" s="7">
        <v>200</v>
      </c>
      <c r="I152" s="8">
        <v>0</v>
      </c>
      <c r="J152" s="6" t="s">
        <v>27</v>
      </c>
      <c r="K152" s="6" t="str">
        <f t="shared" si="2"/>
        <v>No</v>
      </c>
      <c r="L152" s="6" t="s">
        <v>391</v>
      </c>
    </row>
    <row r="153" spans="1:12" x14ac:dyDescent="0.2">
      <c r="A153" s="6" t="s">
        <v>392</v>
      </c>
      <c r="B153" s="6" t="s">
        <v>30</v>
      </c>
      <c r="C153" s="6" t="s">
        <v>390</v>
      </c>
      <c r="D153" s="7">
        <v>25</v>
      </c>
      <c r="E153" s="6" t="s">
        <v>91</v>
      </c>
      <c r="F153" s="6" t="s">
        <v>92</v>
      </c>
      <c r="G153" s="7">
        <v>104</v>
      </c>
      <c r="H153" s="7">
        <v>195</v>
      </c>
      <c r="I153" s="8">
        <v>0</v>
      </c>
      <c r="J153" s="6" t="s">
        <v>27</v>
      </c>
      <c r="K153" s="6" t="str">
        <f t="shared" si="2"/>
        <v>No</v>
      </c>
      <c r="L153" s="6" t="s">
        <v>393</v>
      </c>
    </row>
    <row r="154" spans="1:12" x14ac:dyDescent="0.2">
      <c r="A154" s="6" t="s">
        <v>394</v>
      </c>
      <c r="B154" s="6" t="s">
        <v>24</v>
      </c>
      <c r="C154" s="6" t="s">
        <v>390</v>
      </c>
      <c r="D154" s="7">
        <v>25</v>
      </c>
      <c r="E154" s="6" t="s">
        <v>91</v>
      </c>
      <c r="F154" s="6" t="s">
        <v>92</v>
      </c>
      <c r="G154" s="7">
        <v>103</v>
      </c>
      <c r="H154" s="7">
        <v>180</v>
      </c>
      <c r="I154" s="8">
        <v>0.39118197560310403</v>
      </c>
      <c r="J154" s="6" t="s">
        <v>59</v>
      </c>
      <c r="K154" s="6" t="str">
        <f t="shared" si="2"/>
        <v>No</v>
      </c>
      <c r="L154" s="6" t="s">
        <v>395</v>
      </c>
    </row>
    <row r="155" spans="1:12" x14ac:dyDescent="0.2">
      <c r="A155" s="6" t="s">
        <v>396</v>
      </c>
      <c r="B155" s="6" t="s">
        <v>24</v>
      </c>
      <c r="C155" s="6" t="s">
        <v>397</v>
      </c>
      <c r="D155" s="7">
        <v>25</v>
      </c>
      <c r="E155" s="6" t="s">
        <v>91</v>
      </c>
      <c r="F155" s="6" t="s">
        <v>100</v>
      </c>
      <c r="G155" s="7">
        <v>102</v>
      </c>
      <c r="H155" s="7">
        <v>110</v>
      </c>
      <c r="I155" s="8">
        <v>1</v>
      </c>
      <c r="J155" s="6" t="s">
        <v>34</v>
      </c>
      <c r="K155" s="6" t="str">
        <f t="shared" si="2"/>
        <v>Yes</v>
      </c>
      <c r="L155" s="6" t="s">
        <v>398</v>
      </c>
    </row>
    <row r="156" spans="1:12" x14ac:dyDescent="0.2">
      <c r="A156" s="6" t="s">
        <v>399</v>
      </c>
      <c r="B156" s="6" t="s">
        <v>30</v>
      </c>
      <c r="C156" s="6" t="s">
        <v>397</v>
      </c>
      <c r="D156" s="7">
        <v>25</v>
      </c>
      <c r="E156" s="6" t="s">
        <v>91</v>
      </c>
      <c r="F156" s="6" t="s">
        <v>100</v>
      </c>
      <c r="G156" s="7">
        <v>102</v>
      </c>
      <c r="H156" s="7">
        <v>207</v>
      </c>
      <c r="I156" s="8">
        <v>0</v>
      </c>
      <c r="J156" s="6" t="s">
        <v>27</v>
      </c>
      <c r="K156" s="6" t="str">
        <f t="shared" si="2"/>
        <v>No</v>
      </c>
      <c r="L156" s="6" t="s">
        <v>400</v>
      </c>
    </row>
    <row r="157" spans="1:12" x14ac:dyDescent="0.2">
      <c r="A157" s="6" t="s">
        <v>401</v>
      </c>
      <c r="B157" s="6" t="s">
        <v>24</v>
      </c>
      <c r="C157" s="6" t="s">
        <v>402</v>
      </c>
      <c r="D157" s="7">
        <v>26</v>
      </c>
      <c r="E157" s="6" t="s">
        <v>91</v>
      </c>
      <c r="F157" s="6" t="s">
        <v>92</v>
      </c>
      <c r="G157" s="7">
        <v>106</v>
      </c>
      <c r="H157" s="7">
        <v>198</v>
      </c>
      <c r="I157" s="8">
        <v>1</v>
      </c>
      <c r="J157" s="6" t="s">
        <v>34</v>
      </c>
      <c r="K157" s="6" t="str">
        <f t="shared" si="2"/>
        <v>Yes</v>
      </c>
      <c r="L157" s="6" t="s">
        <v>403</v>
      </c>
    </row>
    <row r="158" spans="1:12" x14ac:dyDescent="0.2">
      <c r="A158" s="6" t="s">
        <v>404</v>
      </c>
      <c r="B158" s="6" t="s">
        <v>30</v>
      </c>
      <c r="C158" s="6" t="s">
        <v>402</v>
      </c>
      <c r="D158" s="7">
        <v>26</v>
      </c>
      <c r="E158" s="6" t="s">
        <v>91</v>
      </c>
      <c r="F158" s="6" t="s">
        <v>92</v>
      </c>
      <c r="G158" s="7">
        <v>108</v>
      </c>
      <c r="H158" s="7">
        <v>199</v>
      </c>
      <c r="I158" s="8">
        <v>0</v>
      </c>
      <c r="J158" s="6" t="s">
        <v>27</v>
      </c>
      <c r="K158" s="6" t="str">
        <f t="shared" si="2"/>
        <v>No</v>
      </c>
      <c r="L158" s="6" t="s">
        <v>405</v>
      </c>
    </row>
    <row r="159" spans="1:12" x14ac:dyDescent="0.2">
      <c r="A159" s="6" t="s">
        <v>406</v>
      </c>
      <c r="B159" s="6" t="s">
        <v>41</v>
      </c>
      <c r="C159" s="6" t="s">
        <v>402</v>
      </c>
      <c r="D159" s="7">
        <v>26</v>
      </c>
      <c r="E159" s="6" t="s">
        <v>91</v>
      </c>
      <c r="F159" s="6" t="s">
        <v>92</v>
      </c>
      <c r="G159" s="7">
        <v>107</v>
      </c>
      <c r="H159" s="7">
        <v>180</v>
      </c>
      <c r="I159" s="8">
        <v>0</v>
      </c>
      <c r="J159" s="6" t="s">
        <v>27</v>
      </c>
      <c r="K159" s="6" t="str">
        <f t="shared" si="2"/>
        <v>No</v>
      </c>
      <c r="L159" s="6" t="s">
        <v>407</v>
      </c>
    </row>
    <row r="160" spans="1:12" x14ac:dyDescent="0.2">
      <c r="A160" s="6" t="s">
        <v>408</v>
      </c>
      <c r="B160" s="6" t="s">
        <v>30</v>
      </c>
      <c r="C160" s="6" t="s">
        <v>402</v>
      </c>
      <c r="D160" s="7">
        <v>26</v>
      </c>
      <c r="E160" s="6" t="s">
        <v>91</v>
      </c>
      <c r="F160" s="6" t="s">
        <v>92</v>
      </c>
      <c r="G160" s="7">
        <v>107</v>
      </c>
      <c r="H160" s="7">
        <v>137</v>
      </c>
      <c r="I160" s="8">
        <v>0</v>
      </c>
      <c r="J160" s="6" t="s">
        <v>27</v>
      </c>
      <c r="K160" s="6" t="str">
        <f t="shared" si="2"/>
        <v>No</v>
      </c>
      <c r="L160" s="6" t="s">
        <v>409</v>
      </c>
    </row>
    <row r="161" spans="1:12" x14ac:dyDescent="0.2">
      <c r="A161" s="6" t="s">
        <v>410</v>
      </c>
      <c r="B161" s="6" t="s">
        <v>24</v>
      </c>
      <c r="C161" s="6" t="s">
        <v>402</v>
      </c>
      <c r="D161" s="7">
        <v>26</v>
      </c>
      <c r="E161" s="6" t="s">
        <v>91</v>
      </c>
      <c r="F161" s="6" t="s">
        <v>92</v>
      </c>
      <c r="G161" s="7">
        <v>106</v>
      </c>
      <c r="H161" s="7">
        <v>202</v>
      </c>
      <c r="I161" s="8">
        <v>1</v>
      </c>
      <c r="J161" s="6" t="s">
        <v>34</v>
      </c>
      <c r="K161" s="6" t="str">
        <f t="shared" si="2"/>
        <v>Yes</v>
      </c>
      <c r="L161" s="6" t="s">
        <v>411</v>
      </c>
    </row>
    <row r="162" spans="1:12" x14ac:dyDescent="0.2">
      <c r="A162" s="6" t="s">
        <v>412</v>
      </c>
      <c r="B162" s="6" t="s">
        <v>24</v>
      </c>
      <c r="C162" s="6" t="s">
        <v>413</v>
      </c>
      <c r="D162" s="7">
        <v>26</v>
      </c>
      <c r="E162" s="6" t="s">
        <v>91</v>
      </c>
      <c r="F162" s="6" t="s">
        <v>100</v>
      </c>
      <c r="G162" s="7">
        <v>105</v>
      </c>
      <c r="H162" s="7">
        <v>195</v>
      </c>
      <c r="I162" s="8">
        <v>0</v>
      </c>
      <c r="J162" s="6" t="s">
        <v>27</v>
      </c>
      <c r="K162" s="6" t="str">
        <f t="shared" si="2"/>
        <v>No</v>
      </c>
      <c r="L162" s="6" t="s">
        <v>414</v>
      </c>
    </row>
    <row r="163" spans="1:12" x14ac:dyDescent="0.2">
      <c r="A163" s="6" t="s">
        <v>415</v>
      </c>
      <c r="B163" s="6" t="s">
        <v>30</v>
      </c>
      <c r="C163" s="6" t="s">
        <v>413</v>
      </c>
      <c r="D163" s="7">
        <v>26</v>
      </c>
      <c r="E163" s="6" t="s">
        <v>91</v>
      </c>
      <c r="F163" s="6" t="s">
        <v>100</v>
      </c>
      <c r="G163" s="7">
        <v>105</v>
      </c>
      <c r="H163" s="7">
        <v>199</v>
      </c>
      <c r="I163" s="8">
        <v>0</v>
      </c>
      <c r="J163" s="6" t="s">
        <v>27</v>
      </c>
      <c r="K163" s="6" t="str">
        <f t="shared" si="2"/>
        <v>No</v>
      </c>
      <c r="L163" s="6" t="s">
        <v>416</v>
      </c>
    </row>
    <row r="164" spans="1:12" x14ac:dyDescent="0.2">
      <c r="A164" s="6" t="s">
        <v>417</v>
      </c>
      <c r="B164" s="6" t="s">
        <v>24</v>
      </c>
      <c r="C164" s="6" t="s">
        <v>418</v>
      </c>
      <c r="D164" s="7">
        <v>27</v>
      </c>
      <c r="E164" s="6" t="s">
        <v>91</v>
      </c>
      <c r="F164" s="6" t="s">
        <v>92</v>
      </c>
      <c r="G164" s="7">
        <v>110</v>
      </c>
      <c r="H164" s="7">
        <v>168</v>
      </c>
      <c r="I164" s="8">
        <v>0.66519826650619496</v>
      </c>
      <c r="J164" s="6" t="s">
        <v>59</v>
      </c>
      <c r="K164" s="6" t="str">
        <f t="shared" si="2"/>
        <v>Yes</v>
      </c>
      <c r="L164" s="6" t="s">
        <v>419</v>
      </c>
    </row>
    <row r="165" spans="1:12" x14ac:dyDescent="0.2">
      <c r="A165" s="6" t="s">
        <v>420</v>
      </c>
      <c r="B165" s="6" t="s">
        <v>30</v>
      </c>
      <c r="C165" s="6" t="s">
        <v>418</v>
      </c>
      <c r="D165" s="7">
        <v>27</v>
      </c>
      <c r="E165" s="6" t="s">
        <v>91</v>
      </c>
      <c r="F165" s="6" t="s">
        <v>92</v>
      </c>
      <c r="G165" s="7">
        <v>110</v>
      </c>
      <c r="H165" s="7">
        <v>174</v>
      </c>
      <c r="I165" s="8">
        <v>0</v>
      </c>
      <c r="J165" s="6" t="s">
        <v>27</v>
      </c>
      <c r="K165" s="6" t="str">
        <f t="shared" si="2"/>
        <v>No</v>
      </c>
      <c r="L165" s="6" t="s">
        <v>421</v>
      </c>
    </row>
    <row r="166" spans="1:12" x14ac:dyDescent="0.2">
      <c r="A166" s="6" t="s">
        <v>422</v>
      </c>
      <c r="B166" s="6" t="s">
        <v>30</v>
      </c>
      <c r="C166" s="6" t="s">
        <v>418</v>
      </c>
      <c r="D166" s="7">
        <v>27</v>
      </c>
      <c r="E166" s="6" t="s">
        <v>91</v>
      </c>
      <c r="F166" s="6" t="s">
        <v>92</v>
      </c>
      <c r="G166" s="7">
        <v>111</v>
      </c>
      <c r="H166" s="7">
        <v>187</v>
      </c>
      <c r="I166" s="8">
        <v>0</v>
      </c>
      <c r="J166" s="6" t="s">
        <v>27</v>
      </c>
      <c r="K166" s="6" t="str">
        <f t="shared" si="2"/>
        <v>No</v>
      </c>
      <c r="L166" s="6" t="s">
        <v>423</v>
      </c>
    </row>
    <row r="167" spans="1:12" x14ac:dyDescent="0.2">
      <c r="A167" s="6" t="s">
        <v>424</v>
      </c>
      <c r="B167" s="6" t="s">
        <v>30</v>
      </c>
      <c r="C167" s="6" t="s">
        <v>425</v>
      </c>
      <c r="D167" s="7">
        <v>27</v>
      </c>
      <c r="E167" s="6" t="s">
        <v>91</v>
      </c>
      <c r="F167" s="6" t="s">
        <v>100</v>
      </c>
      <c r="G167" s="7">
        <v>109</v>
      </c>
      <c r="H167" s="7">
        <v>200</v>
      </c>
      <c r="I167" s="8">
        <v>0</v>
      </c>
      <c r="J167" s="6" t="s">
        <v>27</v>
      </c>
      <c r="K167" s="6" t="str">
        <f t="shared" si="2"/>
        <v>No</v>
      </c>
      <c r="L167" s="6" t="s">
        <v>426</v>
      </c>
    </row>
    <row r="168" spans="1:12" x14ac:dyDescent="0.2">
      <c r="A168" s="6" t="s">
        <v>427</v>
      </c>
      <c r="B168" s="6" t="s">
        <v>24</v>
      </c>
      <c r="C168" s="6" t="s">
        <v>425</v>
      </c>
      <c r="D168" s="7">
        <v>27</v>
      </c>
      <c r="E168" s="6" t="s">
        <v>91</v>
      </c>
      <c r="F168" s="6" t="s">
        <v>100</v>
      </c>
      <c r="G168" s="7">
        <v>109</v>
      </c>
      <c r="H168" s="7">
        <v>152</v>
      </c>
      <c r="I168" s="8">
        <v>0.665477275848389</v>
      </c>
      <c r="J168" s="6" t="s">
        <v>59</v>
      </c>
      <c r="K168" s="6" t="str">
        <f t="shared" si="2"/>
        <v>Yes</v>
      </c>
      <c r="L168" s="6" t="s">
        <v>428</v>
      </c>
    </row>
    <row r="169" spans="1:12" x14ac:dyDescent="0.2">
      <c r="A169" s="6" t="s">
        <v>429</v>
      </c>
      <c r="B169" s="6" t="s">
        <v>24</v>
      </c>
      <c r="C169" s="6" t="s">
        <v>430</v>
      </c>
      <c r="D169" s="7">
        <v>28</v>
      </c>
      <c r="E169" s="6" t="s">
        <v>91</v>
      </c>
      <c r="F169" s="6" t="s">
        <v>92</v>
      </c>
      <c r="G169" s="7">
        <v>113</v>
      </c>
      <c r="H169" s="7">
        <v>169</v>
      </c>
      <c r="I169" s="8">
        <v>0</v>
      </c>
      <c r="J169" s="6" t="s">
        <v>27</v>
      </c>
      <c r="K169" s="6" t="str">
        <f t="shared" si="2"/>
        <v>No</v>
      </c>
      <c r="L169" s="6" t="s">
        <v>431</v>
      </c>
    </row>
    <row r="170" spans="1:12" x14ac:dyDescent="0.2">
      <c r="A170" s="6" t="s">
        <v>432</v>
      </c>
      <c r="B170" s="6" t="s">
        <v>30</v>
      </c>
      <c r="C170" s="6" t="s">
        <v>430</v>
      </c>
      <c r="D170" s="7">
        <v>28</v>
      </c>
      <c r="E170" s="6" t="s">
        <v>91</v>
      </c>
      <c r="F170" s="6" t="s">
        <v>92</v>
      </c>
      <c r="G170" s="7">
        <v>114</v>
      </c>
      <c r="H170" s="7">
        <v>199</v>
      </c>
      <c r="I170" s="8">
        <v>0</v>
      </c>
      <c r="J170" s="6" t="s">
        <v>27</v>
      </c>
      <c r="K170" s="6" t="str">
        <f t="shared" si="2"/>
        <v>No</v>
      </c>
      <c r="L170" s="6" t="s">
        <v>433</v>
      </c>
    </row>
    <row r="171" spans="1:12" x14ac:dyDescent="0.2">
      <c r="A171" s="6" t="s">
        <v>434</v>
      </c>
      <c r="B171" s="6" t="s">
        <v>30</v>
      </c>
      <c r="C171" s="6" t="s">
        <v>430</v>
      </c>
      <c r="D171" s="7">
        <v>28</v>
      </c>
      <c r="E171" s="6" t="s">
        <v>91</v>
      </c>
      <c r="F171" s="6" t="s">
        <v>92</v>
      </c>
      <c r="G171" s="7">
        <v>114</v>
      </c>
      <c r="H171" s="7">
        <v>200</v>
      </c>
      <c r="I171" s="8">
        <v>0</v>
      </c>
      <c r="J171" s="6" t="s">
        <v>27</v>
      </c>
      <c r="K171" s="6" t="str">
        <f t="shared" si="2"/>
        <v>No</v>
      </c>
      <c r="L171" s="6" t="s">
        <v>435</v>
      </c>
    </row>
    <row r="172" spans="1:12" x14ac:dyDescent="0.2">
      <c r="A172" s="6" t="s">
        <v>436</v>
      </c>
      <c r="B172" s="6" t="s">
        <v>24</v>
      </c>
      <c r="C172" s="6" t="s">
        <v>430</v>
      </c>
      <c r="D172" s="7">
        <v>28</v>
      </c>
      <c r="E172" s="6" t="s">
        <v>91</v>
      </c>
      <c r="F172" s="6" t="s">
        <v>92</v>
      </c>
      <c r="G172" s="7">
        <v>113</v>
      </c>
      <c r="H172" s="7">
        <v>147</v>
      </c>
      <c r="I172" s="8">
        <v>1</v>
      </c>
      <c r="J172" s="6" t="s">
        <v>34</v>
      </c>
      <c r="K172" s="6" t="str">
        <f t="shared" si="2"/>
        <v>Yes</v>
      </c>
      <c r="L172" s="6" t="s">
        <v>437</v>
      </c>
    </row>
    <row r="173" spans="1:12" x14ac:dyDescent="0.2">
      <c r="A173" s="6" t="s">
        <v>438</v>
      </c>
      <c r="B173" s="6" t="s">
        <v>30</v>
      </c>
      <c r="C173" s="6" t="s">
        <v>439</v>
      </c>
      <c r="D173" s="7">
        <v>28</v>
      </c>
      <c r="E173" s="6" t="s">
        <v>91</v>
      </c>
      <c r="F173" s="6" t="s">
        <v>100</v>
      </c>
      <c r="G173" s="7">
        <v>112</v>
      </c>
      <c r="H173" s="7">
        <v>164</v>
      </c>
      <c r="I173" s="8">
        <v>0</v>
      </c>
      <c r="J173" s="6" t="s">
        <v>27</v>
      </c>
      <c r="K173" s="6" t="str">
        <f t="shared" si="2"/>
        <v>No</v>
      </c>
      <c r="L173" s="6" t="s">
        <v>440</v>
      </c>
    </row>
    <row r="174" spans="1:12" x14ac:dyDescent="0.2">
      <c r="A174" s="6" t="s">
        <v>441</v>
      </c>
      <c r="B174" s="6" t="s">
        <v>24</v>
      </c>
      <c r="C174" s="6" t="s">
        <v>439</v>
      </c>
      <c r="D174" s="7">
        <v>28</v>
      </c>
      <c r="E174" s="6" t="s">
        <v>91</v>
      </c>
      <c r="F174" s="6" t="s">
        <v>100</v>
      </c>
      <c r="G174" s="7">
        <v>112</v>
      </c>
      <c r="H174" s="7">
        <v>131</v>
      </c>
      <c r="I174" s="8">
        <v>0</v>
      </c>
      <c r="J174" s="6" t="s">
        <v>27</v>
      </c>
      <c r="K174" s="6" t="str">
        <f t="shared" si="2"/>
        <v>No</v>
      </c>
      <c r="L174" s="6" t="s">
        <v>442</v>
      </c>
    </row>
    <row r="175" spans="1:12" x14ac:dyDescent="0.2">
      <c r="A175" s="6" t="s">
        <v>443</v>
      </c>
      <c r="B175" s="6" t="s">
        <v>24</v>
      </c>
      <c r="C175" s="6" t="s">
        <v>444</v>
      </c>
      <c r="D175" s="7">
        <v>29</v>
      </c>
      <c r="E175" s="6" t="s">
        <v>91</v>
      </c>
      <c r="F175" s="6" t="s">
        <v>92</v>
      </c>
      <c r="G175" s="7">
        <v>116</v>
      </c>
      <c r="H175" s="7">
        <v>102</v>
      </c>
      <c r="I175" s="8">
        <v>0</v>
      </c>
      <c r="J175" s="6" t="s">
        <v>27</v>
      </c>
      <c r="K175" s="6" t="str">
        <f t="shared" si="2"/>
        <v>No</v>
      </c>
      <c r="L175" s="6" t="s">
        <v>445</v>
      </c>
    </row>
    <row r="176" spans="1:12" x14ac:dyDescent="0.2">
      <c r="A176" s="6" t="s">
        <v>446</v>
      </c>
      <c r="B176" s="6" t="s">
        <v>30</v>
      </c>
      <c r="C176" s="6" t="s">
        <v>444</v>
      </c>
      <c r="D176" s="7">
        <v>29</v>
      </c>
      <c r="E176" s="6" t="s">
        <v>91</v>
      </c>
      <c r="F176" s="6" t="s">
        <v>92</v>
      </c>
      <c r="G176" s="7">
        <v>117</v>
      </c>
      <c r="H176" s="7">
        <v>200</v>
      </c>
      <c r="I176" s="8">
        <v>0</v>
      </c>
      <c r="J176" s="6" t="s">
        <v>27</v>
      </c>
      <c r="K176" s="6" t="str">
        <f t="shared" si="2"/>
        <v>No</v>
      </c>
      <c r="L176" s="6" t="s">
        <v>447</v>
      </c>
    </row>
    <row r="177" spans="1:12" x14ac:dyDescent="0.2">
      <c r="A177" s="6" t="s">
        <v>448</v>
      </c>
      <c r="B177" s="6" t="s">
        <v>30</v>
      </c>
      <c r="C177" s="6" t="s">
        <v>444</v>
      </c>
      <c r="D177" s="7">
        <v>29</v>
      </c>
      <c r="E177" s="6" t="s">
        <v>91</v>
      </c>
      <c r="F177" s="6" t="s">
        <v>92</v>
      </c>
      <c r="G177" s="7">
        <v>116</v>
      </c>
      <c r="H177" s="7">
        <v>197</v>
      </c>
      <c r="I177" s="8">
        <v>0</v>
      </c>
      <c r="J177" s="6" t="s">
        <v>27</v>
      </c>
      <c r="K177" s="6" t="str">
        <f t="shared" si="2"/>
        <v>No</v>
      </c>
      <c r="L177" s="6" t="s">
        <v>449</v>
      </c>
    </row>
    <row r="178" spans="1:12" x14ac:dyDescent="0.2">
      <c r="A178" s="6" t="s">
        <v>450</v>
      </c>
      <c r="B178" s="6" t="s">
        <v>24</v>
      </c>
      <c r="C178" s="6" t="s">
        <v>451</v>
      </c>
      <c r="D178" s="7">
        <v>29</v>
      </c>
      <c r="E178" s="6" t="s">
        <v>91</v>
      </c>
      <c r="F178" s="6" t="s">
        <v>100</v>
      </c>
      <c r="G178" s="7">
        <v>115</v>
      </c>
      <c r="H178" s="7">
        <v>200</v>
      </c>
      <c r="I178" s="8">
        <v>0.67820614576339699</v>
      </c>
      <c r="J178" s="6" t="s">
        <v>59</v>
      </c>
      <c r="K178" s="6" t="str">
        <f t="shared" si="2"/>
        <v>Yes</v>
      </c>
      <c r="L178" s="6" t="s">
        <v>452</v>
      </c>
    </row>
    <row r="179" spans="1:12" x14ac:dyDescent="0.2">
      <c r="A179" s="6" t="s">
        <v>453</v>
      </c>
      <c r="B179" s="6" t="s">
        <v>30</v>
      </c>
      <c r="C179" s="6" t="s">
        <v>451</v>
      </c>
      <c r="D179" s="7">
        <v>29</v>
      </c>
      <c r="E179" s="6" t="s">
        <v>91</v>
      </c>
      <c r="F179" s="6" t="s">
        <v>100</v>
      </c>
      <c r="G179" s="7">
        <v>115</v>
      </c>
      <c r="H179" s="7">
        <v>199</v>
      </c>
      <c r="I179" s="8">
        <v>0</v>
      </c>
      <c r="J179" s="6" t="s">
        <v>27</v>
      </c>
      <c r="K179" s="6" t="str">
        <f t="shared" si="2"/>
        <v>No</v>
      </c>
      <c r="L179" s="6" t="s">
        <v>454</v>
      </c>
    </row>
    <row r="180" spans="1:12" x14ac:dyDescent="0.2">
      <c r="A180" s="6" t="s">
        <v>455</v>
      </c>
      <c r="B180" s="6" t="s">
        <v>24</v>
      </c>
      <c r="C180" s="6" t="s">
        <v>456</v>
      </c>
      <c r="D180" s="7">
        <v>30</v>
      </c>
      <c r="E180" s="6" t="s">
        <v>91</v>
      </c>
      <c r="F180" s="6" t="s">
        <v>92</v>
      </c>
      <c r="G180" s="7">
        <v>119</v>
      </c>
      <c r="H180" s="7">
        <v>175</v>
      </c>
      <c r="I180" s="8">
        <v>1</v>
      </c>
      <c r="J180" s="6" t="s">
        <v>34</v>
      </c>
      <c r="K180" s="6" t="str">
        <f t="shared" si="2"/>
        <v>Yes</v>
      </c>
      <c r="L180" s="6" t="s">
        <v>457</v>
      </c>
    </row>
    <row r="181" spans="1:12" x14ac:dyDescent="0.2">
      <c r="A181" s="6" t="s">
        <v>458</v>
      </c>
      <c r="B181" s="6" t="s">
        <v>30</v>
      </c>
      <c r="C181" s="6" t="s">
        <v>456</v>
      </c>
      <c r="D181" s="7">
        <v>30</v>
      </c>
      <c r="E181" s="6" t="s">
        <v>91</v>
      </c>
      <c r="F181" s="6" t="s">
        <v>92</v>
      </c>
      <c r="G181" s="7">
        <v>120</v>
      </c>
      <c r="H181" s="7">
        <v>200</v>
      </c>
      <c r="I181" s="8">
        <v>0</v>
      </c>
      <c r="J181" s="6" t="s">
        <v>27</v>
      </c>
      <c r="K181" s="6" t="str">
        <f t="shared" si="2"/>
        <v>No</v>
      </c>
      <c r="L181" s="6" t="s">
        <v>459</v>
      </c>
    </row>
    <row r="182" spans="1:12" x14ac:dyDescent="0.2">
      <c r="A182" s="6" t="s">
        <v>460</v>
      </c>
      <c r="B182" s="6" t="s">
        <v>30</v>
      </c>
      <c r="C182" s="6" t="s">
        <v>456</v>
      </c>
      <c r="D182" s="7">
        <v>30</v>
      </c>
      <c r="E182" s="6" t="s">
        <v>91</v>
      </c>
      <c r="F182" s="6" t="s">
        <v>92</v>
      </c>
      <c r="G182" s="7">
        <v>119</v>
      </c>
      <c r="H182" s="7">
        <v>197</v>
      </c>
      <c r="I182" s="8">
        <v>0</v>
      </c>
      <c r="J182" s="6" t="s">
        <v>27</v>
      </c>
      <c r="K182" s="6" t="str">
        <f t="shared" si="2"/>
        <v>No</v>
      </c>
      <c r="L182" s="6" t="s">
        <v>461</v>
      </c>
    </row>
    <row r="183" spans="1:12" x14ac:dyDescent="0.2">
      <c r="A183" s="6" t="s">
        <v>462</v>
      </c>
      <c r="B183" s="6" t="s">
        <v>30</v>
      </c>
      <c r="C183" s="6" t="s">
        <v>463</v>
      </c>
      <c r="D183" s="7">
        <v>30</v>
      </c>
      <c r="E183" s="6" t="s">
        <v>91</v>
      </c>
      <c r="F183" s="6" t="s">
        <v>100</v>
      </c>
      <c r="G183" s="7">
        <v>118</v>
      </c>
      <c r="H183" s="7">
        <v>185</v>
      </c>
      <c r="I183" s="8">
        <v>0</v>
      </c>
      <c r="J183" s="6" t="s">
        <v>27</v>
      </c>
      <c r="K183" s="6" t="str">
        <f t="shared" si="2"/>
        <v>No</v>
      </c>
      <c r="L183" s="6" t="s">
        <v>464</v>
      </c>
    </row>
    <row r="184" spans="1:12" x14ac:dyDescent="0.2">
      <c r="A184" s="6" t="s">
        <v>465</v>
      </c>
      <c r="B184" s="6" t="s">
        <v>24</v>
      </c>
      <c r="C184" s="6" t="s">
        <v>466</v>
      </c>
      <c r="D184" s="7"/>
      <c r="E184" s="6" t="s">
        <v>467</v>
      </c>
      <c r="F184" s="6"/>
      <c r="G184" s="7">
        <v>121</v>
      </c>
      <c r="H184" s="7"/>
      <c r="I184" s="8"/>
      <c r="J184" s="6" t="s">
        <v>42</v>
      </c>
      <c r="K184" s="6" t="str">
        <f t="shared" si="2"/>
        <v>no statement</v>
      </c>
      <c r="L184" s="6" t="s">
        <v>43</v>
      </c>
    </row>
    <row r="185" spans="1:12" x14ac:dyDescent="0.2">
      <c r="A185" s="6" t="s">
        <v>468</v>
      </c>
      <c r="B185" s="6" t="s">
        <v>24</v>
      </c>
      <c r="C185" s="6" t="s">
        <v>469</v>
      </c>
      <c r="D185" s="7"/>
      <c r="E185" s="6" t="s">
        <v>467</v>
      </c>
      <c r="F185" s="6"/>
      <c r="G185" s="7">
        <v>122</v>
      </c>
      <c r="H185" s="7">
        <v>193</v>
      </c>
      <c r="I185" s="8">
        <v>0</v>
      </c>
      <c r="J185" s="6" t="s">
        <v>27</v>
      </c>
      <c r="K185" s="6" t="str">
        <f t="shared" si="2"/>
        <v>No</v>
      </c>
      <c r="L185" s="6" t="s">
        <v>470</v>
      </c>
    </row>
    <row r="186" spans="1:12" x14ac:dyDescent="0.2">
      <c r="A186" s="6" t="s">
        <v>471</v>
      </c>
      <c r="B186" s="6" t="s">
        <v>30</v>
      </c>
      <c r="C186" s="6" t="s">
        <v>472</v>
      </c>
      <c r="D186" s="7"/>
      <c r="E186" s="6" t="s">
        <v>467</v>
      </c>
      <c r="F186" s="6"/>
      <c r="G186" s="7">
        <v>124</v>
      </c>
      <c r="H186" s="7">
        <v>102</v>
      </c>
      <c r="I186" s="8">
        <v>1</v>
      </c>
      <c r="J186" s="6" t="s">
        <v>34</v>
      </c>
      <c r="K186" s="6" t="str">
        <f t="shared" si="2"/>
        <v>Yes</v>
      </c>
      <c r="L186" s="6" t="s">
        <v>473</v>
      </c>
    </row>
    <row r="187" spans="1:12" x14ac:dyDescent="0.2">
      <c r="A187" s="6" t="s">
        <v>474</v>
      </c>
      <c r="B187" s="6" t="s">
        <v>30</v>
      </c>
      <c r="C187" s="6" t="s">
        <v>475</v>
      </c>
      <c r="D187" s="7"/>
      <c r="E187" s="6" t="s">
        <v>467</v>
      </c>
      <c r="F187" s="6"/>
      <c r="G187" s="7">
        <v>123</v>
      </c>
      <c r="H187" s="7">
        <v>185</v>
      </c>
      <c r="I187" s="8">
        <v>1</v>
      </c>
      <c r="J187" s="6" t="s">
        <v>34</v>
      </c>
      <c r="K187" s="6" t="str">
        <f t="shared" si="2"/>
        <v>Yes</v>
      </c>
      <c r="L187" s="6" t="s">
        <v>476</v>
      </c>
    </row>
    <row r="188" spans="1:12" x14ac:dyDescent="0.2">
      <c r="A188" s="6" t="s">
        <v>477</v>
      </c>
      <c r="B188" s="6" t="s">
        <v>24</v>
      </c>
      <c r="C188" s="6" t="s">
        <v>478</v>
      </c>
      <c r="D188" s="7"/>
      <c r="E188" s="6" t="s">
        <v>467</v>
      </c>
      <c r="F188" s="6"/>
      <c r="G188" s="7">
        <v>125</v>
      </c>
      <c r="H188" s="7">
        <v>86</v>
      </c>
      <c r="I188" s="8">
        <v>0.58434784412384</v>
      </c>
      <c r="J188" s="6" t="s">
        <v>59</v>
      </c>
      <c r="K188" s="6" t="str">
        <f t="shared" si="2"/>
        <v>Yes</v>
      </c>
      <c r="L188" s="6" t="s">
        <v>479</v>
      </c>
    </row>
    <row r="189" spans="1:12" x14ac:dyDescent="0.2">
      <c r="A189" s="6" t="s">
        <v>480</v>
      </c>
      <c r="B189" s="6" t="s">
        <v>24</v>
      </c>
      <c r="C189" s="6" t="s">
        <v>481</v>
      </c>
      <c r="D189" s="7"/>
      <c r="E189" s="6" t="s">
        <v>467</v>
      </c>
      <c r="F189" s="6"/>
      <c r="G189" s="7">
        <v>127</v>
      </c>
      <c r="H189" s="7">
        <v>199</v>
      </c>
      <c r="I189" s="8">
        <v>1</v>
      </c>
      <c r="J189" s="6" t="s">
        <v>34</v>
      </c>
      <c r="K189" s="6" t="str">
        <f t="shared" si="2"/>
        <v>Yes</v>
      </c>
      <c r="L189" s="6" t="s">
        <v>482</v>
      </c>
    </row>
    <row r="190" spans="1:12" x14ac:dyDescent="0.2">
      <c r="A190" s="6" t="s">
        <v>483</v>
      </c>
      <c r="B190" s="6" t="s">
        <v>57</v>
      </c>
      <c r="C190" s="6" t="s">
        <v>481</v>
      </c>
      <c r="D190" s="7"/>
      <c r="E190" s="6" t="s">
        <v>467</v>
      </c>
      <c r="F190" s="6"/>
      <c r="G190" s="7">
        <v>127</v>
      </c>
      <c r="H190" s="7">
        <v>118</v>
      </c>
      <c r="I190" s="8">
        <v>1</v>
      </c>
      <c r="J190" s="6" t="s">
        <v>34</v>
      </c>
      <c r="K190" s="6" t="str">
        <f t="shared" si="2"/>
        <v>Yes</v>
      </c>
      <c r="L190" s="6" t="s">
        <v>484</v>
      </c>
    </row>
    <row r="191" spans="1:12" x14ac:dyDescent="0.2">
      <c r="A191" s="6" t="s">
        <v>485</v>
      </c>
      <c r="B191" s="6" t="s">
        <v>30</v>
      </c>
      <c r="C191" s="6" t="s">
        <v>486</v>
      </c>
      <c r="D191" s="7"/>
      <c r="E191" s="6" t="s">
        <v>467</v>
      </c>
      <c r="F191" s="6"/>
      <c r="G191" s="7">
        <v>126</v>
      </c>
      <c r="H191" s="7">
        <v>200</v>
      </c>
      <c r="I191" s="8">
        <v>0</v>
      </c>
      <c r="J191" s="6" t="s">
        <v>27</v>
      </c>
      <c r="K191" s="6" t="str">
        <f t="shared" si="2"/>
        <v>No</v>
      </c>
      <c r="L191" s="6" t="s">
        <v>487</v>
      </c>
    </row>
    <row r="192" spans="1:12" x14ac:dyDescent="0.2">
      <c r="A192" s="6" t="s">
        <v>488</v>
      </c>
      <c r="B192" s="6" t="s">
        <v>30</v>
      </c>
      <c r="C192" s="6" t="s">
        <v>489</v>
      </c>
      <c r="D192" s="7"/>
      <c r="E192" s="6" t="s">
        <v>467</v>
      </c>
      <c r="F192" s="6"/>
      <c r="G192" s="7">
        <v>128</v>
      </c>
      <c r="H192" s="7">
        <v>186</v>
      </c>
      <c r="I192" s="8">
        <v>0</v>
      </c>
      <c r="J192" s="6" t="s">
        <v>27</v>
      </c>
      <c r="K192" s="6" t="str">
        <f t="shared" si="2"/>
        <v>No</v>
      </c>
      <c r="L192" s="6" t="s">
        <v>490</v>
      </c>
    </row>
    <row r="193" spans="1:12" x14ac:dyDescent="0.2">
      <c r="A193" s="6" t="s">
        <v>491</v>
      </c>
      <c r="B193" s="6" t="s">
        <v>24</v>
      </c>
      <c r="C193" s="6" t="s">
        <v>492</v>
      </c>
      <c r="D193" s="7"/>
      <c r="E193" s="6" t="s">
        <v>467</v>
      </c>
      <c r="F193" s="6"/>
      <c r="G193" s="7">
        <v>129</v>
      </c>
      <c r="H193" s="7"/>
      <c r="I193" s="8"/>
      <c r="J193" s="6" t="s">
        <v>42</v>
      </c>
      <c r="K193" s="6" t="str">
        <f t="shared" si="2"/>
        <v>no statement</v>
      </c>
      <c r="L193" s="6" t="s">
        <v>43</v>
      </c>
    </row>
    <row r="194" spans="1:12" x14ac:dyDescent="0.2">
      <c r="A194" s="6" t="s">
        <v>493</v>
      </c>
      <c r="B194" s="6" t="s">
        <v>30</v>
      </c>
      <c r="C194" s="6" t="s">
        <v>494</v>
      </c>
      <c r="D194" s="7"/>
      <c r="E194" s="6" t="s">
        <v>467</v>
      </c>
      <c r="F194" s="6"/>
      <c r="G194" s="7">
        <v>130</v>
      </c>
      <c r="H194" s="7">
        <v>201</v>
      </c>
      <c r="I194" s="8">
        <v>1</v>
      </c>
      <c r="J194" s="6" t="s">
        <v>34</v>
      </c>
      <c r="K194" s="6" t="str">
        <f t="shared" ref="K194:K209" si="3">IF(I194="","no statement",IF(I194&gt;0.5,"Yes","No"))</f>
        <v>Yes</v>
      </c>
      <c r="L194" s="6" t="s">
        <v>495</v>
      </c>
    </row>
    <row r="195" spans="1:12" x14ac:dyDescent="0.2">
      <c r="A195" s="6" t="s">
        <v>496</v>
      </c>
      <c r="B195" s="6" t="s">
        <v>30</v>
      </c>
      <c r="C195" s="6" t="s">
        <v>497</v>
      </c>
      <c r="D195" s="7"/>
      <c r="E195" s="6" t="s">
        <v>467</v>
      </c>
      <c r="F195" s="6"/>
      <c r="G195" s="7">
        <v>132</v>
      </c>
      <c r="H195" s="7">
        <v>195</v>
      </c>
      <c r="I195" s="8">
        <v>0.83220976591110196</v>
      </c>
      <c r="J195" s="6" t="s">
        <v>34</v>
      </c>
      <c r="K195" s="6" t="str">
        <f t="shared" si="3"/>
        <v>Yes</v>
      </c>
      <c r="L195" s="6" t="s">
        <v>498</v>
      </c>
    </row>
    <row r="196" spans="1:12" x14ac:dyDescent="0.2">
      <c r="A196" s="6" t="s">
        <v>499</v>
      </c>
      <c r="B196" s="6" t="s">
        <v>30</v>
      </c>
      <c r="C196" s="6" t="s">
        <v>500</v>
      </c>
      <c r="D196" s="7"/>
      <c r="E196" s="6" t="s">
        <v>467</v>
      </c>
      <c r="F196" s="6"/>
      <c r="G196" s="7">
        <v>131</v>
      </c>
      <c r="H196" s="7">
        <v>103</v>
      </c>
      <c r="I196" s="8">
        <v>1</v>
      </c>
      <c r="J196" s="6" t="s">
        <v>34</v>
      </c>
      <c r="K196" s="6" t="str">
        <f t="shared" si="3"/>
        <v>Yes</v>
      </c>
      <c r="L196" s="6" t="s">
        <v>501</v>
      </c>
    </row>
    <row r="197" spans="1:12" x14ac:dyDescent="0.2">
      <c r="A197" s="6" t="s">
        <v>502</v>
      </c>
      <c r="B197" s="6" t="s">
        <v>30</v>
      </c>
      <c r="C197" s="6" t="s">
        <v>503</v>
      </c>
      <c r="D197" s="7"/>
      <c r="E197" s="6" t="s">
        <v>467</v>
      </c>
      <c r="F197" s="6"/>
      <c r="G197" s="7">
        <v>133</v>
      </c>
      <c r="H197" s="7">
        <v>196</v>
      </c>
      <c r="I197" s="8">
        <v>0.53859204053878795</v>
      </c>
      <c r="J197" s="6" t="s">
        <v>59</v>
      </c>
      <c r="K197" s="6" t="str">
        <f t="shared" si="3"/>
        <v>Yes</v>
      </c>
      <c r="L197" s="6" t="s">
        <v>504</v>
      </c>
    </row>
    <row r="198" spans="1:12" x14ac:dyDescent="0.2">
      <c r="A198" s="6" t="s">
        <v>505</v>
      </c>
      <c r="B198" s="6" t="s">
        <v>24</v>
      </c>
      <c r="C198" s="6" t="s">
        <v>503</v>
      </c>
      <c r="D198" s="7"/>
      <c r="E198" s="6" t="s">
        <v>467</v>
      </c>
      <c r="F198" s="6"/>
      <c r="G198" s="7">
        <v>133</v>
      </c>
      <c r="H198" s="7">
        <v>199</v>
      </c>
      <c r="I198" s="8">
        <v>0.497695863246918</v>
      </c>
      <c r="J198" s="6" t="s">
        <v>59</v>
      </c>
      <c r="K198" s="6" t="str">
        <f t="shared" si="3"/>
        <v>No</v>
      </c>
      <c r="L198" s="6" t="s">
        <v>506</v>
      </c>
    </row>
    <row r="199" spans="1:12" x14ac:dyDescent="0.2">
      <c r="A199" s="6" t="s">
        <v>507</v>
      </c>
      <c r="B199" s="6" t="s">
        <v>30</v>
      </c>
      <c r="C199" s="6" t="s">
        <v>508</v>
      </c>
      <c r="D199" s="7"/>
      <c r="E199" s="6" t="s">
        <v>467</v>
      </c>
      <c r="F199" s="6"/>
      <c r="G199" s="7">
        <v>134</v>
      </c>
      <c r="H199" s="7">
        <v>190</v>
      </c>
      <c r="I199" s="8">
        <v>0.34176182746887201</v>
      </c>
      <c r="J199" s="6" t="s">
        <v>59</v>
      </c>
      <c r="K199" s="6" t="str">
        <f t="shared" si="3"/>
        <v>No</v>
      </c>
      <c r="L199" s="6" t="s">
        <v>509</v>
      </c>
    </row>
    <row r="200" spans="1:12" x14ac:dyDescent="0.2">
      <c r="A200" s="6" t="s">
        <v>510</v>
      </c>
      <c r="B200" s="6" t="s">
        <v>30</v>
      </c>
      <c r="C200" s="6" t="s">
        <v>511</v>
      </c>
      <c r="D200" s="7"/>
      <c r="E200" s="6" t="s">
        <v>467</v>
      </c>
      <c r="F200" s="6"/>
      <c r="G200" s="7">
        <v>135</v>
      </c>
      <c r="H200" s="7"/>
      <c r="I200" s="8"/>
      <c r="J200" s="6" t="s">
        <v>42</v>
      </c>
      <c r="K200" s="6" t="str">
        <f t="shared" si="3"/>
        <v>no statement</v>
      </c>
      <c r="L200" s="6" t="s">
        <v>43</v>
      </c>
    </row>
    <row r="201" spans="1:12" x14ac:dyDescent="0.2">
      <c r="A201" s="6" t="s">
        <v>512</v>
      </c>
      <c r="B201" s="6" t="s">
        <v>24</v>
      </c>
      <c r="C201" s="6" t="s">
        <v>513</v>
      </c>
      <c r="D201" s="7"/>
      <c r="E201" s="6" t="s">
        <v>467</v>
      </c>
      <c r="F201" s="6"/>
      <c r="G201" s="7">
        <v>137</v>
      </c>
      <c r="H201" s="7">
        <v>170</v>
      </c>
      <c r="I201" s="8">
        <v>1</v>
      </c>
      <c r="J201" s="6" t="s">
        <v>34</v>
      </c>
      <c r="K201" s="6" t="str">
        <f t="shared" si="3"/>
        <v>Yes</v>
      </c>
      <c r="L201" s="6" t="s">
        <v>514</v>
      </c>
    </row>
    <row r="202" spans="1:12" x14ac:dyDescent="0.2">
      <c r="A202" s="6" t="s">
        <v>515</v>
      </c>
      <c r="B202" s="6" t="s">
        <v>30</v>
      </c>
      <c r="C202" s="6" t="s">
        <v>516</v>
      </c>
      <c r="D202" s="7"/>
      <c r="E202" s="6" t="s">
        <v>467</v>
      </c>
      <c r="F202" s="6"/>
      <c r="G202" s="7">
        <v>138</v>
      </c>
      <c r="H202" s="7"/>
      <c r="I202" s="8"/>
      <c r="J202" s="6" t="s">
        <v>42</v>
      </c>
      <c r="K202" s="6" t="str">
        <f t="shared" si="3"/>
        <v>no statement</v>
      </c>
      <c r="L202" s="6" t="s">
        <v>43</v>
      </c>
    </row>
    <row r="203" spans="1:12" x14ac:dyDescent="0.2">
      <c r="A203" s="6" t="s">
        <v>517</v>
      </c>
      <c r="B203" s="6" t="s">
        <v>24</v>
      </c>
      <c r="C203" s="6" t="s">
        <v>518</v>
      </c>
      <c r="D203" s="7"/>
      <c r="E203" s="6" t="s">
        <v>467</v>
      </c>
      <c r="F203" s="6"/>
      <c r="G203" s="7">
        <v>140</v>
      </c>
      <c r="H203" s="7"/>
      <c r="I203" s="8"/>
      <c r="J203" s="6" t="s">
        <v>42</v>
      </c>
      <c r="K203" s="6" t="str">
        <f t="shared" si="3"/>
        <v>no statement</v>
      </c>
      <c r="L203" s="6" t="s">
        <v>43</v>
      </c>
    </row>
    <row r="204" spans="1:12" x14ac:dyDescent="0.2">
      <c r="A204" s="6" t="s">
        <v>519</v>
      </c>
      <c r="B204" s="6" t="s">
        <v>24</v>
      </c>
      <c r="C204" s="6" t="s">
        <v>520</v>
      </c>
      <c r="D204" s="7"/>
      <c r="E204" s="6" t="s">
        <v>467</v>
      </c>
      <c r="F204" s="6"/>
      <c r="G204" s="7">
        <v>139</v>
      </c>
      <c r="H204" s="7">
        <v>202</v>
      </c>
      <c r="I204" s="8">
        <v>0.29632106423378002</v>
      </c>
      <c r="J204" s="6" t="s">
        <v>59</v>
      </c>
      <c r="K204" s="6" t="str">
        <f t="shared" si="3"/>
        <v>No</v>
      </c>
      <c r="L204" s="6" t="s">
        <v>521</v>
      </c>
    </row>
    <row r="205" spans="1:12" x14ac:dyDescent="0.2">
      <c r="A205" s="6" t="s">
        <v>522</v>
      </c>
      <c r="B205" s="6" t="s">
        <v>30</v>
      </c>
      <c r="C205" s="6" t="s">
        <v>523</v>
      </c>
      <c r="D205" s="7"/>
      <c r="E205" s="6" t="s">
        <v>467</v>
      </c>
      <c r="F205" s="6"/>
      <c r="G205" s="7">
        <v>142</v>
      </c>
      <c r="H205" s="7"/>
      <c r="I205" s="8"/>
      <c r="J205" s="6" t="s">
        <v>42</v>
      </c>
      <c r="K205" s="6" t="str">
        <f t="shared" si="3"/>
        <v>no statement</v>
      </c>
      <c r="L205" s="6" t="s">
        <v>43</v>
      </c>
    </row>
    <row r="206" spans="1:12" x14ac:dyDescent="0.2">
      <c r="A206" s="6" t="s">
        <v>524</v>
      </c>
      <c r="B206" s="6" t="s">
        <v>30</v>
      </c>
      <c r="C206" s="6" t="s">
        <v>525</v>
      </c>
      <c r="D206" s="7"/>
      <c r="E206" s="6" t="s">
        <v>467</v>
      </c>
      <c r="F206" s="6"/>
      <c r="G206" s="7">
        <v>143</v>
      </c>
      <c r="H206" s="7">
        <v>199</v>
      </c>
      <c r="I206" s="8">
        <v>1</v>
      </c>
      <c r="J206" s="6" t="s">
        <v>34</v>
      </c>
      <c r="K206" s="6" t="str">
        <f t="shared" si="3"/>
        <v>Yes</v>
      </c>
      <c r="L206" s="6" t="s">
        <v>526</v>
      </c>
    </row>
    <row r="207" spans="1:12" x14ac:dyDescent="0.2">
      <c r="A207" s="6" t="s">
        <v>527</v>
      </c>
      <c r="B207" s="6" t="s">
        <v>30</v>
      </c>
      <c r="C207" s="6" t="s">
        <v>528</v>
      </c>
      <c r="D207" s="7" t="s">
        <v>529</v>
      </c>
      <c r="E207" s="6" t="s">
        <v>467</v>
      </c>
      <c r="F207" s="6"/>
      <c r="G207" s="7">
        <v>141</v>
      </c>
      <c r="H207" s="7">
        <v>182</v>
      </c>
      <c r="I207" s="8">
        <v>1</v>
      </c>
      <c r="J207" s="6" t="s">
        <v>34</v>
      </c>
      <c r="K207" s="6" t="str">
        <f t="shared" si="3"/>
        <v>Yes</v>
      </c>
      <c r="L207" s="6" t="s">
        <v>530</v>
      </c>
    </row>
    <row r="208" spans="1:12" x14ac:dyDescent="0.2">
      <c r="A208" s="6" t="s">
        <v>531</v>
      </c>
      <c r="B208" s="6" t="s">
        <v>24</v>
      </c>
      <c r="C208" s="6" t="s">
        <v>532</v>
      </c>
      <c r="D208" s="7" t="s">
        <v>533</v>
      </c>
      <c r="E208" s="6" t="s">
        <v>467</v>
      </c>
      <c r="F208" s="6"/>
      <c r="G208" s="7">
        <v>136</v>
      </c>
      <c r="H208" s="7">
        <v>202</v>
      </c>
      <c r="I208" s="8">
        <v>1</v>
      </c>
      <c r="J208" s="6" t="s">
        <v>34</v>
      </c>
      <c r="K208" s="6" t="str">
        <f t="shared" si="3"/>
        <v>Yes</v>
      </c>
      <c r="L208" s="6" t="s">
        <v>534</v>
      </c>
    </row>
    <row r="209" spans="1:12" x14ac:dyDescent="0.2">
      <c r="A209" s="6" t="s">
        <v>535</v>
      </c>
      <c r="B209" s="6" t="s">
        <v>30</v>
      </c>
      <c r="C209" s="6" t="s">
        <v>532</v>
      </c>
      <c r="D209" s="7" t="s">
        <v>533</v>
      </c>
      <c r="E209" s="6" t="s">
        <v>467</v>
      </c>
      <c r="F209" s="6"/>
      <c r="G209" s="7">
        <v>136</v>
      </c>
      <c r="H209" s="7">
        <v>195</v>
      </c>
      <c r="I209" s="8">
        <v>1</v>
      </c>
      <c r="J209" s="6" t="s">
        <v>34</v>
      </c>
      <c r="K209" s="6" t="str">
        <f t="shared" si="3"/>
        <v>Yes</v>
      </c>
      <c r="L209" s="6" t="s">
        <v>536</v>
      </c>
    </row>
  </sheetData>
  <autoFilter ref="A1:L209" xr:uid="{00000000-0009-0000-0000-000001000000}"/>
  <conditionalFormatting sqref="I2:I209">
    <cfRule type="colorScale" priority="2">
      <colorScale>
        <cfvo type="num" val="0"/>
        <cfvo type="num" val="1"/>
        <color rgb="FFFFFFFF"/>
        <color rgb="FFF4A8A8"/>
      </colorScale>
    </cfRule>
  </conditionalFormatting>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51"/>
  <sheetViews>
    <sheetView showGridLines="0" tabSelected="1" zoomScaleNormal="100" workbookViewId="0">
      <selection activeCell="B9" sqref="B9"/>
    </sheetView>
  </sheetViews>
  <sheetFormatPr baseColWidth="10" defaultColWidth="8.6640625" defaultRowHeight="15" customHeight="1" x14ac:dyDescent="0.2"/>
  <cols>
    <col min="1" max="1" width="30" customWidth="1"/>
    <col min="2" max="2" width="11" customWidth="1"/>
    <col min="3" max="3" width="10" customWidth="1"/>
    <col min="4" max="4" width="9" customWidth="1"/>
  </cols>
  <sheetData>
    <row r="1" spans="1:4" ht="16.5" customHeight="1" x14ac:dyDescent="0.2">
      <c r="A1" s="1" t="s">
        <v>571</v>
      </c>
    </row>
    <row r="2" spans="1:4" x14ac:dyDescent="0.2"/>
    <row r="3" spans="1:4" x14ac:dyDescent="0.2">
      <c r="A3" s="4" t="s">
        <v>537</v>
      </c>
    </row>
    <row r="4" spans="1:4" x14ac:dyDescent="0.2">
      <c r="A4" s="3" t="s">
        <v>538</v>
      </c>
      <c r="B4" s="9">
        <f>COUNT(Candidates!I2:I209)</f>
        <v>198</v>
      </c>
    </row>
    <row r="5" spans="1:4" x14ac:dyDescent="0.2">
      <c r="A5" s="3" t="s">
        <v>539</v>
      </c>
      <c r="B5" s="9">
        <f>COUNTIF(Candidates!I2:I209,"&gt;0.5")</f>
        <v>70</v>
      </c>
    </row>
    <row r="6" spans="1:4" x14ac:dyDescent="0.2">
      <c r="A6" s="3" t="s">
        <v>540</v>
      </c>
      <c r="B6" s="10">
        <f>B5/B4</f>
        <v>0.35353535353535354</v>
      </c>
    </row>
    <row r="7" spans="1:4" x14ac:dyDescent="0.2">
      <c r="A7" s="3" t="s">
        <v>541</v>
      </c>
      <c r="B7" s="9">
        <f>COUNTIF(Candidates!I2:I209,0)</f>
        <v>121</v>
      </c>
    </row>
    <row r="8" spans="1:4" x14ac:dyDescent="0.2">
      <c r="A8" s="3" t="s">
        <v>542</v>
      </c>
      <c r="B8" s="9">
        <f>COUNTIF(Candidates!I2:I209,"&gt;=0.95")</f>
        <v>63</v>
      </c>
    </row>
    <row r="9" spans="1:4" x14ac:dyDescent="0.2">
      <c r="A9" s="3" t="s">
        <v>543</v>
      </c>
      <c r="B9" s="9">
        <f>COUNTIF(Candidates!J2:J209,"no statement")</f>
        <v>10</v>
      </c>
    </row>
    <row r="10" spans="1:4" x14ac:dyDescent="0.2"/>
    <row r="11" spans="1:4" x14ac:dyDescent="0.2"/>
    <row r="12" spans="1:4" x14ac:dyDescent="0.2"/>
    <row r="13" spans="1:4" x14ac:dyDescent="0.2">
      <c r="A13" s="4" t="s">
        <v>544</v>
      </c>
    </row>
    <row r="14" spans="1:4" x14ac:dyDescent="0.2">
      <c r="A14" s="11"/>
      <c r="B14" s="11" t="s">
        <v>545</v>
      </c>
      <c r="C14" s="11" t="s">
        <v>546</v>
      </c>
      <c r="D14" s="11" t="s">
        <v>547</v>
      </c>
    </row>
    <row r="15" spans="1:4" x14ac:dyDescent="0.2">
      <c r="A15" s="3" t="s">
        <v>26</v>
      </c>
      <c r="B15" s="3">
        <f>COUNTIFS(Candidates!$E$2:$E$209,$A15,Candidates!$I$2:$I$209,"&gt;=0")</f>
        <v>23</v>
      </c>
      <c r="C15" s="3">
        <f>COUNTIFS(Candidates!$E$2:$E$209,$A15,Candidates!$I$2:$I$209,"&gt;0.5")</f>
        <v>7</v>
      </c>
      <c r="D15" s="10">
        <f>IFERROR(C15/B15,0)</f>
        <v>0.30434782608695654</v>
      </c>
    </row>
    <row r="16" spans="1:4" x14ac:dyDescent="0.2">
      <c r="A16" s="3" t="s">
        <v>91</v>
      </c>
      <c r="B16" s="3">
        <f>COUNTIFS(Candidates!$E$2:$E$209,$A16,Candidates!$I$2:$I$209,"&gt;=0")</f>
        <v>155</v>
      </c>
      <c r="C16" s="3">
        <f>COUNTIFS(Candidates!$E$2:$E$209,$A16,Candidates!$I$2:$I$209,"&gt;0.5")</f>
        <v>49</v>
      </c>
      <c r="D16" s="10">
        <f>IFERROR(C16/B16,0)</f>
        <v>0.31612903225806449</v>
      </c>
    </row>
    <row r="17" spans="1:4" x14ac:dyDescent="0.2">
      <c r="A17" s="3" t="s">
        <v>467</v>
      </c>
      <c r="B17" s="3">
        <f>COUNTIFS(Candidates!$E$2:$E$209,$A17,Candidates!$I$2:$I$209,"&gt;=0")</f>
        <v>20</v>
      </c>
      <c r="C17" s="3">
        <f>COUNTIFS(Candidates!$E$2:$E$209,$A17,Candidates!$I$2:$I$209,"&gt;0.5")</f>
        <v>14</v>
      </c>
      <c r="D17" s="10">
        <f>IFERROR(C17/B17,0)</f>
        <v>0.7</v>
      </c>
    </row>
    <row r="18" spans="1:4" x14ac:dyDescent="0.2"/>
    <row r="19" spans="1:4" x14ac:dyDescent="0.2"/>
    <row r="20" spans="1:4" x14ac:dyDescent="0.2">
      <c r="A20" s="4" t="s">
        <v>548</v>
      </c>
    </row>
    <row r="21" spans="1:4" x14ac:dyDescent="0.2">
      <c r="A21" s="11"/>
      <c r="B21" s="11" t="s">
        <v>545</v>
      </c>
      <c r="C21" s="11" t="s">
        <v>546</v>
      </c>
      <c r="D21" s="11" t="s">
        <v>547</v>
      </c>
    </row>
    <row r="22" spans="1:4" x14ac:dyDescent="0.2">
      <c r="A22" s="3" t="s">
        <v>24</v>
      </c>
      <c r="B22" s="3">
        <f>COUNTIFS(Candidates!$B$2:$B$209,$A22,Candidates!$I$2:$I$209,"&gt;=0")</f>
        <v>92</v>
      </c>
      <c r="C22" s="3">
        <f>COUNTIFS(Candidates!$B$2:$B$209,$A22,Candidates!$I$2:$I$209,"&gt;0.5")</f>
        <v>36</v>
      </c>
      <c r="D22" s="10">
        <f>IFERROR(C22/B22,0)</f>
        <v>0.39130434782608697</v>
      </c>
    </row>
    <row r="23" spans="1:4" x14ac:dyDescent="0.2">
      <c r="A23" s="3" t="s">
        <v>30</v>
      </c>
      <c r="B23" s="3">
        <f>COUNTIFS(Candidates!$B$2:$B$209,$A23,Candidates!$I$2:$I$209,"&gt;=0")</f>
        <v>91</v>
      </c>
      <c r="C23" s="3">
        <f>COUNTIFS(Candidates!$B$2:$B$209,$A23,Candidates!$I$2:$I$209,"&gt;0.5")</f>
        <v>28</v>
      </c>
      <c r="D23" s="10">
        <f>IFERROR(C23/B23,0)</f>
        <v>0.30769230769230771</v>
      </c>
    </row>
    <row r="24" spans="1:4" x14ac:dyDescent="0.2">
      <c r="A24" s="3" t="s">
        <v>41</v>
      </c>
      <c r="B24" s="3">
        <f>COUNTIFS(Candidates!$B$2:$B$209,$A24,Candidates!$I$2:$I$209,"&gt;=0")</f>
        <v>6</v>
      </c>
      <c r="C24" s="3">
        <f>COUNTIFS(Candidates!$B$2:$B$209,$A24,Candidates!$I$2:$I$209,"&gt;0.5")</f>
        <v>2</v>
      </c>
      <c r="D24" s="10">
        <f>IFERROR(C24/B24,0)</f>
        <v>0.33333333333333331</v>
      </c>
    </row>
    <row r="25" spans="1:4" x14ac:dyDescent="0.2">
      <c r="A25" s="3" t="s">
        <v>57</v>
      </c>
      <c r="B25" s="3">
        <f>COUNTIFS(Candidates!$B$2:$B$209,$A25,Candidates!$I$2:$I$209,"&gt;=0")</f>
        <v>4</v>
      </c>
      <c r="C25" s="3">
        <f>COUNTIFS(Candidates!$B$2:$B$209,$A25,Candidates!$I$2:$I$209,"&gt;0.5")</f>
        <v>1</v>
      </c>
      <c r="D25" s="10">
        <f>IFERROR(C25/B25,0)</f>
        <v>0.25</v>
      </c>
    </row>
    <row r="26" spans="1:4" x14ac:dyDescent="0.2">
      <c r="A26" s="3" t="s">
        <v>54</v>
      </c>
      <c r="B26" s="3">
        <f>COUNTIFS(Candidates!$B$2:$B$209,$A26,Candidates!$I$2:$I$209,"&gt;=0")</f>
        <v>5</v>
      </c>
      <c r="C26" s="3">
        <f>COUNTIFS(Candidates!$B$2:$B$209,$A26,Candidates!$I$2:$I$209,"&gt;0.5")</f>
        <v>3</v>
      </c>
      <c r="D26" s="10">
        <f>IFERROR(C26/B26,0)</f>
        <v>0.6</v>
      </c>
    </row>
    <row r="27" spans="1:4" x14ac:dyDescent="0.2"/>
    <row r="28" spans="1:4" x14ac:dyDescent="0.2"/>
    <row r="29" spans="1:4" x14ac:dyDescent="0.2"/>
    <row r="30" spans="1:4" x14ac:dyDescent="0.2">
      <c r="A30" s="4" t="s">
        <v>549</v>
      </c>
    </row>
    <row r="31" spans="1:4" x14ac:dyDescent="0.2">
      <c r="A31" s="11" t="s">
        <v>550</v>
      </c>
      <c r="B31" s="11" t="s">
        <v>545</v>
      </c>
    </row>
    <row r="32" spans="1:4" x14ac:dyDescent="0.2">
      <c r="A32" s="3" t="s">
        <v>551</v>
      </c>
      <c r="B32" s="3">
        <f>COUNTIFS(Candidates!$I$2:$I$209,"&gt;=0.0",Candidates!$I$2:$I$209,"&lt;0.05")</f>
        <v>121</v>
      </c>
    </row>
    <row r="33" spans="1:2" x14ac:dyDescent="0.2">
      <c r="A33" s="3" t="s">
        <v>552</v>
      </c>
      <c r="B33" s="3">
        <f>COUNTIFS(Candidates!$I$2:$I$209,"&gt;=0.05",Candidates!$I$2:$I$209,"&lt;0.1")</f>
        <v>0</v>
      </c>
    </row>
    <row r="34" spans="1:2" x14ac:dyDescent="0.2">
      <c r="A34" s="3" t="s">
        <v>553</v>
      </c>
      <c r="B34" s="3">
        <f>COUNTIFS(Candidates!$I$2:$I$209,"&gt;=0.1",Candidates!$I$2:$I$209,"&lt;0.15000000000000002")</f>
        <v>0</v>
      </c>
    </row>
    <row r="35" spans="1:2" x14ac:dyDescent="0.2">
      <c r="A35" s="3" t="s">
        <v>554</v>
      </c>
      <c r="B35" s="3">
        <f>COUNTIFS(Candidates!$I$2:$I$209,"&gt;=0.15000000000000002",Candidates!$I$2:$I$209,"&lt;0.2")</f>
        <v>0</v>
      </c>
    </row>
    <row r="36" spans="1:2" x14ac:dyDescent="0.2">
      <c r="A36" s="3" t="s">
        <v>555</v>
      </c>
      <c r="B36" s="3">
        <f>COUNTIFS(Candidates!$I$2:$I$209,"&gt;=0.2",Candidates!$I$2:$I$209,"&lt;0.25")</f>
        <v>1</v>
      </c>
    </row>
    <row r="37" spans="1:2" x14ac:dyDescent="0.2">
      <c r="A37" s="3" t="s">
        <v>556</v>
      </c>
      <c r="B37" s="3">
        <f>COUNTIFS(Candidates!$I$2:$I$209,"&gt;=0.25",Candidates!$I$2:$I$209,"&lt;0.30000000000000004")</f>
        <v>1</v>
      </c>
    </row>
    <row r="38" spans="1:2" x14ac:dyDescent="0.2">
      <c r="A38" s="3" t="s">
        <v>557</v>
      </c>
      <c r="B38" s="3">
        <f>COUNTIFS(Candidates!$I$2:$I$209,"&gt;=0.30000000000000004",Candidates!$I$2:$I$209,"&lt;0.35000000000000003")</f>
        <v>1</v>
      </c>
    </row>
    <row r="39" spans="1:2" x14ac:dyDescent="0.2">
      <c r="A39" s="3" t="s">
        <v>558</v>
      </c>
      <c r="B39" s="3">
        <f>COUNTIFS(Candidates!$I$2:$I$209,"&gt;=0.35000000000000003",Candidates!$I$2:$I$209,"&lt;0.4")</f>
        <v>3</v>
      </c>
    </row>
    <row r="40" spans="1:2" x14ac:dyDescent="0.2">
      <c r="A40" s="3" t="s">
        <v>559</v>
      </c>
      <c r="B40" s="3">
        <f>COUNTIFS(Candidates!$I$2:$I$209,"&gt;=0.4",Candidates!$I$2:$I$209,"&lt;0.45")</f>
        <v>0</v>
      </c>
    </row>
    <row r="41" spans="1:2" x14ac:dyDescent="0.2">
      <c r="A41" s="3" t="s">
        <v>560</v>
      </c>
      <c r="B41" s="3">
        <f>COUNTIFS(Candidates!$I$2:$I$209,"&gt;=0.45",Candidates!$I$2:$I$209,"&lt;0.5")</f>
        <v>1</v>
      </c>
    </row>
    <row r="42" spans="1:2" x14ac:dyDescent="0.2">
      <c r="A42" s="3" t="s">
        <v>561</v>
      </c>
      <c r="B42" s="3">
        <f>COUNTIFS(Candidates!$I$2:$I$209,"&gt;=0.5",Candidates!$I$2:$I$209,"&lt;0.55")</f>
        <v>1</v>
      </c>
    </row>
    <row r="43" spans="1:2" x14ac:dyDescent="0.2">
      <c r="A43" s="3" t="s">
        <v>562</v>
      </c>
      <c r="B43" s="3">
        <f>COUNTIFS(Candidates!$I$2:$I$209,"&gt;=0.55",Candidates!$I$2:$I$209,"&lt;0.6000000000000001")</f>
        <v>2</v>
      </c>
    </row>
    <row r="44" spans="1:2" x14ac:dyDescent="0.2">
      <c r="A44" s="3" t="s">
        <v>563</v>
      </c>
      <c r="B44" s="3">
        <f>COUNTIFS(Candidates!$I$2:$I$209,"&gt;=0.6000000000000001",Candidates!$I$2:$I$209,"&lt;0.65")</f>
        <v>0</v>
      </c>
    </row>
    <row r="45" spans="1:2" x14ac:dyDescent="0.2">
      <c r="A45" s="3" t="s">
        <v>564</v>
      </c>
      <c r="B45" s="3">
        <f>COUNTIFS(Candidates!$I$2:$I$209,"&gt;=0.65",Candidates!$I$2:$I$209,"&lt;0.7000000000000001")</f>
        <v>3</v>
      </c>
    </row>
    <row r="46" spans="1:2" x14ac:dyDescent="0.2">
      <c r="A46" s="3" t="s">
        <v>565</v>
      </c>
      <c r="B46" s="3">
        <f>COUNTIFS(Candidates!$I$2:$I$209,"&gt;=0.7000000000000001",Candidates!$I$2:$I$209,"&lt;0.75")</f>
        <v>0</v>
      </c>
    </row>
    <row r="47" spans="1:2" x14ac:dyDescent="0.2">
      <c r="A47" s="3" t="s">
        <v>566</v>
      </c>
      <c r="B47" s="3">
        <f>COUNTIFS(Candidates!$I$2:$I$209,"&gt;=0.75",Candidates!$I$2:$I$209,"&lt;0.8")</f>
        <v>0</v>
      </c>
    </row>
    <row r="48" spans="1:2" x14ac:dyDescent="0.2">
      <c r="A48" s="3" t="s">
        <v>567</v>
      </c>
      <c r="B48" s="3">
        <f>COUNTIFS(Candidates!$I$2:$I$209,"&gt;=0.8",Candidates!$I$2:$I$209,"&lt;0.8500000000000001")</f>
        <v>1</v>
      </c>
    </row>
    <row r="49" spans="1:2" x14ac:dyDescent="0.2">
      <c r="A49" s="3" t="s">
        <v>568</v>
      </c>
      <c r="B49" s="3">
        <f>COUNTIFS(Candidates!$I$2:$I$209,"&gt;=0.8500000000000001",Candidates!$I$2:$I$209,"&lt;0.9")</f>
        <v>0</v>
      </c>
    </row>
    <row r="50" spans="1:2" x14ac:dyDescent="0.2">
      <c r="A50" s="3" t="s">
        <v>569</v>
      </c>
      <c r="B50" s="3">
        <f>COUNTIFS(Candidates!$I$2:$I$209,"&gt;=0.9",Candidates!$I$2:$I$209,"&lt;0.9500000000000001")</f>
        <v>0</v>
      </c>
    </row>
    <row r="51" spans="1:2" x14ac:dyDescent="0.2">
      <c r="A51" s="3" t="s">
        <v>570</v>
      </c>
      <c r="B51" s="3">
        <f>COUNTIFS(Candidates!$I$2:$I$209,"&gt;=0.9500000000000001",Candidates!$I$2:$I$209,"&lt;=1.0")</f>
        <v>63</v>
      </c>
    </row>
  </sheetData>
  <pageMargins left="0.75" right="0.75" top="1" bottom="1" header="0.511811023622047" footer="0.511811023622047"/>
  <pageSetup fitToHeight="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Read me</vt:lpstr>
      <vt:lpstr>Candidates</vt:lpstr>
      <vt:lpstr>Summary &amp; charts</vt:lpstr>
      <vt:lpstr>Candidates!Print_Titles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Basler, Luke - (lukebasler)</cp:lastModifiedBy>
  <cp:revision>2</cp:revision>
  <dcterms:created xsi:type="dcterms:W3CDTF">2026-09-21T04:38:03Z</dcterms:created>
  <dcterms:modified xsi:type="dcterms:W3CDTF">2026-09-21T05:44:32Z</dcterms:modified>
  <dc:language>en-US</dc:language>
</cp:coreProperties>
</file>